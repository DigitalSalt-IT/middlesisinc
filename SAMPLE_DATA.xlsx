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olive/Downloads/"/>
    </mc:Choice>
  </mc:AlternateContent>
  <xr:revisionPtr revIDLastSave="0" documentId="8_{FA6FE47F-FBCF-CE4C-88AB-821B61A602DD}" xr6:coauthVersionLast="47" xr6:coauthVersionMax="47" xr10:uidLastSave="{00000000-0000-0000-0000-000000000000}"/>
  <bookViews>
    <workbookView xWindow="0" yWindow="680" windowWidth="30240" windowHeight="17620" xr2:uid="{00000000-000D-0000-FFFF-FFFF00000000}"/>
  </bookViews>
  <sheets>
    <sheet name="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3" i="1"/>
</calcChain>
</file>

<file path=xl/sharedStrings.xml><?xml version="1.0" encoding="utf-8"?>
<sst xmlns="http://schemas.openxmlformats.org/spreadsheetml/2006/main" count="570" uniqueCount="218">
  <si>
    <t>Order Number</t>
  </si>
  <si>
    <t>Commission Record ID</t>
  </si>
  <si>
    <t>Commission Create Date</t>
  </si>
  <si>
    <t>Commission Status</t>
  </si>
  <si>
    <t>Customer Name</t>
  </si>
  <si>
    <t>Carrier Name</t>
  </si>
  <si>
    <t>Shipment Date</t>
  </si>
  <si>
    <t>Carrier Cost from Order</t>
  </si>
  <si>
    <t>Customer Total Cost from Order</t>
  </si>
  <si>
    <t>Sales Tax</t>
  </si>
  <si>
    <t>Sales Tax 2</t>
  </si>
  <si>
    <t>Agent Type</t>
  </si>
  <si>
    <t>Agent Full Name</t>
  </si>
  <si>
    <t>Gross Profit</t>
  </si>
  <si>
    <t>Sales Commission</t>
  </si>
  <si>
    <t>GRAND TOTAL</t>
  </si>
  <si>
    <t>Count 78</t>
  </si>
  <si>
    <t>BYER12538027</t>
  </si>
  <si>
    <t>915648</t>
  </si>
  <si>
    <t>Pending</t>
  </si>
  <si>
    <t>Beyerdynamic</t>
  </si>
  <si>
    <t>ABF Freight</t>
  </si>
  <si>
    <t>Sales</t>
  </si>
  <si>
    <t>Nicole Caporusso</t>
  </si>
  <si>
    <t>BYER12555514</t>
  </si>
  <si>
    <t>916768</t>
  </si>
  <si>
    <t>BYER12590699</t>
  </si>
  <si>
    <t>917294</t>
  </si>
  <si>
    <t>ERIX12486438</t>
  </si>
  <si>
    <t>916138</t>
  </si>
  <si>
    <t>Erixmar Usa Inc.</t>
  </si>
  <si>
    <t>A. Duie Pyle</t>
  </si>
  <si>
    <t>Julia Matheos</t>
  </si>
  <si>
    <t>FSL12512945</t>
  </si>
  <si>
    <t>915710</t>
  </si>
  <si>
    <t>Foppiani Shipping &amp; Logistics USA INC.</t>
  </si>
  <si>
    <t>STD TRUCKING</t>
  </si>
  <si>
    <t>IQNJ12527736</t>
  </si>
  <si>
    <t>915726</t>
  </si>
  <si>
    <t>Interglobo Airfreight USA Inc. (NJ)</t>
  </si>
  <si>
    <t>IQNJ12527944</t>
  </si>
  <si>
    <t>917584</t>
  </si>
  <si>
    <t>SEATTLE AIR CARGO</t>
  </si>
  <si>
    <t>IQNJ12531431</t>
  </si>
  <si>
    <t>917490</t>
  </si>
  <si>
    <t>Multi Airfreight</t>
  </si>
  <si>
    <t>IQNJ12532725</t>
  </si>
  <si>
    <t>915744</t>
  </si>
  <si>
    <t>AAA Cooper / MME</t>
  </si>
  <si>
    <t>IQNJ12537513</t>
  </si>
  <si>
    <t>916535</t>
  </si>
  <si>
    <t>TForce Freight</t>
  </si>
  <si>
    <t>IQNJ12544397</t>
  </si>
  <si>
    <t>917493</t>
  </si>
  <si>
    <t>IQNJ12553394</t>
  </si>
  <si>
    <t>916139</t>
  </si>
  <si>
    <t>IQNJ12563622</t>
  </si>
  <si>
    <t>917586</t>
  </si>
  <si>
    <t>GTD TRUCKING</t>
  </si>
  <si>
    <t>IQNJ12575394</t>
  </si>
  <si>
    <t>916541</t>
  </si>
  <si>
    <t>IQNJ12577182</t>
  </si>
  <si>
    <t>916536</t>
  </si>
  <si>
    <t>Yankee Freight System</t>
  </si>
  <si>
    <t>IQNJ12602715</t>
  </si>
  <si>
    <t>916784</t>
  </si>
  <si>
    <t>OA TRUCKING LLC</t>
  </si>
  <si>
    <t>IQNY12498906</t>
  </si>
  <si>
    <t>914710</t>
  </si>
  <si>
    <t>Interglobo Customs Brokers Inc (NY)</t>
  </si>
  <si>
    <t>INHOUSE LOGISTICS LLC c/o FREIGHT FORCE (MEM)</t>
  </si>
  <si>
    <t>IQNY12538927</t>
  </si>
  <si>
    <t>917476</t>
  </si>
  <si>
    <t>IQNY12542960</t>
  </si>
  <si>
    <t>913990</t>
  </si>
  <si>
    <t>IQNY12543709</t>
  </si>
  <si>
    <t>917491</t>
  </si>
  <si>
    <t>SILVER LION TRADE SERVICE c/o FREIGHT FORCE (IAD)</t>
  </si>
  <si>
    <t>IQNY12548523</t>
  </si>
  <si>
    <t>917477</t>
  </si>
  <si>
    <t>Air Cargo Transit</t>
  </si>
  <si>
    <t>IQNY12550010</t>
  </si>
  <si>
    <t>915724</t>
  </si>
  <si>
    <t>DISTRIBUTORS TRANSPORT c/o FREIGHT FORCE (MCO)</t>
  </si>
  <si>
    <t>IQNY12553208</t>
  </si>
  <si>
    <t>916136</t>
  </si>
  <si>
    <t>IQNY12553507</t>
  </si>
  <si>
    <t>917585</t>
  </si>
  <si>
    <t>MOBILE AIR TRANSPORT, INC.</t>
  </si>
  <si>
    <t>IQNY12553658</t>
  </si>
  <si>
    <t>914428</t>
  </si>
  <si>
    <t>Cape Cargo Inc.</t>
  </si>
  <si>
    <t>IQNY12578647</t>
  </si>
  <si>
    <t>916602</t>
  </si>
  <si>
    <t>SOCAL SHIPPING</t>
  </si>
  <si>
    <t>JAN12493292</t>
  </si>
  <si>
    <t>914711</t>
  </si>
  <si>
    <t>Janel Group (CT)</t>
  </si>
  <si>
    <t>JAN12504575</t>
  </si>
  <si>
    <t>915708</t>
  </si>
  <si>
    <t>JAN12514853</t>
  </si>
  <si>
    <t>915709</t>
  </si>
  <si>
    <t>MID AFTER TRUCKING</t>
  </si>
  <si>
    <t>JAN12536763</t>
  </si>
  <si>
    <t>915728</t>
  </si>
  <si>
    <t>JAN12539001</t>
  </si>
  <si>
    <t>916141</t>
  </si>
  <si>
    <t>JAN12539240</t>
  </si>
  <si>
    <t>916140</t>
  </si>
  <si>
    <t>JAN12539539</t>
  </si>
  <si>
    <t>916142</t>
  </si>
  <si>
    <t>JAN12552414</t>
  </si>
  <si>
    <t>914567</t>
  </si>
  <si>
    <t>ARMEN TRANSPORTATION LLC</t>
  </si>
  <si>
    <t>JAN12559638</t>
  </si>
  <si>
    <t>916137</t>
  </si>
  <si>
    <t>JAN12564861</t>
  </si>
  <si>
    <t>915034</t>
  </si>
  <si>
    <t>MGF12499211</t>
  </si>
  <si>
    <t>917479</t>
  </si>
  <si>
    <t>MGF US INC</t>
  </si>
  <si>
    <t>James Air Cargo Inc.</t>
  </si>
  <si>
    <t>PDF12550675</t>
  </si>
  <si>
    <t>915703</t>
  </si>
  <si>
    <t>PDF SEAL LLC</t>
  </si>
  <si>
    <t>Old Dominion</t>
  </si>
  <si>
    <t>PDF12560347</t>
  </si>
  <si>
    <t>915652</t>
  </si>
  <si>
    <t>PDF12568013</t>
  </si>
  <si>
    <t>916309</t>
  </si>
  <si>
    <t>PDF12568096</t>
  </si>
  <si>
    <t>916771</t>
  </si>
  <si>
    <t>PDF12568194</t>
  </si>
  <si>
    <t>917192</t>
  </si>
  <si>
    <t>PDF12572938</t>
  </si>
  <si>
    <t>915857</t>
  </si>
  <si>
    <t>PDF12575136</t>
  </si>
  <si>
    <t>915858</t>
  </si>
  <si>
    <t>PDF12576322</t>
  </si>
  <si>
    <t>917193</t>
  </si>
  <si>
    <t>ANSHUR TRUCKING LLC</t>
  </si>
  <si>
    <t>PDF12579138</t>
  </si>
  <si>
    <t>916680</t>
  </si>
  <si>
    <t>PDF12579475</t>
  </si>
  <si>
    <t>917149</t>
  </si>
  <si>
    <t>PDF12579584</t>
  </si>
  <si>
    <t>916679</t>
  </si>
  <si>
    <t>PDF12582726</t>
  </si>
  <si>
    <t>916678</t>
  </si>
  <si>
    <t>PDF12590515</t>
  </si>
  <si>
    <t>917377</t>
  </si>
  <si>
    <t>PDF12590551</t>
  </si>
  <si>
    <t>917191</t>
  </si>
  <si>
    <t>PDF12598092</t>
  </si>
  <si>
    <t>917492</t>
  </si>
  <si>
    <t>SCAR12490566</t>
  </si>
  <si>
    <t>916783</t>
  </si>
  <si>
    <t>The Scarbrough Group</t>
  </si>
  <si>
    <t>R &amp; M TRUCKING</t>
  </si>
  <si>
    <t>SCAR12492968</t>
  </si>
  <si>
    <t>914982</t>
  </si>
  <si>
    <t>California Sierra Express, Inc. (LAX)</t>
  </si>
  <si>
    <t>SCAR12515449</t>
  </si>
  <si>
    <t>914956</t>
  </si>
  <si>
    <t>Southeastern Freight Lines</t>
  </si>
  <si>
    <t>SCAR12515653</t>
  </si>
  <si>
    <t>913991</t>
  </si>
  <si>
    <t>Special Service Fright (CLT)</t>
  </si>
  <si>
    <t>SCAR12517207</t>
  </si>
  <si>
    <t>914957</t>
  </si>
  <si>
    <t>SCAR12520584</t>
  </si>
  <si>
    <t>915639</t>
  </si>
  <si>
    <t>SCAR12527280</t>
  </si>
  <si>
    <t>914958</t>
  </si>
  <si>
    <t>SCAR12528780</t>
  </si>
  <si>
    <t>916773</t>
  </si>
  <si>
    <t>SCAR12531022</t>
  </si>
  <si>
    <t>914960</t>
  </si>
  <si>
    <t>SCAR12531666</t>
  </si>
  <si>
    <t>914959</t>
  </si>
  <si>
    <t>FREIGHT FORWARD SOLUTION LLC</t>
  </si>
  <si>
    <t>SCAR12539703</t>
  </si>
  <si>
    <t>915640</t>
  </si>
  <si>
    <t>SCAR12543871</t>
  </si>
  <si>
    <t>914961</t>
  </si>
  <si>
    <t>SCAR12544250</t>
  </si>
  <si>
    <t>915649</t>
  </si>
  <si>
    <t>SCAR12551033</t>
  </si>
  <si>
    <t>916677</t>
  </si>
  <si>
    <t>SCAR12552222</t>
  </si>
  <si>
    <t>915685</t>
  </si>
  <si>
    <t>MNALAN TRUCKING CORP</t>
  </si>
  <si>
    <t>SCAR12554455</t>
  </si>
  <si>
    <t>915901</t>
  </si>
  <si>
    <t>SCAR12560183</t>
  </si>
  <si>
    <t>915960</t>
  </si>
  <si>
    <t>SCAR12560279</t>
  </si>
  <si>
    <t>916105</t>
  </si>
  <si>
    <t>ACCURATE EXPEDITING c/o FREIGHT FORCE (DTW)</t>
  </si>
  <si>
    <t>SCAR12564233</t>
  </si>
  <si>
    <t>915913</t>
  </si>
  <si>
    <t>SCAR12566433</t>
  </si>
  <si>
    <t>915651</t>
  </si>
  <si>
    <t>SCAR12572957</t>
  </si>
  <si>
    <t>917214</t>
  </si>
  <si>
    <t>SCAR12576962</t>
  </si>
  <si>
    <t>916676</t>
  </si>
  <si>
    <t>BARRON TRANSPORT INC</t>
  </si>
  <si>
    <t>SCAR12577016</t>
  </si>
  <si>
    <t>917282</t>
  </si>
  <si>
    <t>SCAR12577111</t>
  </si>
  <si>
    <t>916307</t>
  </si>
  <si>
    <t>Landstar</t>
  </si>
  <si>
    <t>SCAR12581429</t>
  </si>
  <si>
    <t>916308</t>
  </si>
  <si>
    <t>CARGO KING EXPRESS</t>
  </si>
  <si>
    <t>SCAR12595656</t>
  </si>
  <si>
    <t>917496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</si>
</sst>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"/>
  </numFmts>
  <fonts count="3" x14ac:knownFonts="1">
    <font>
      <sz val="11"/>
      <color indexed="8"/>
      <name val="Aptos Narrow"/>
      <family val="2"/>
      <scheme val="minor"/>
    </font>
    <font>
      <b/>
      <sz val="13"/>
      <color rgb="FF5A5A5A"/>
      <name val="Calibri"/>
      <family val="2"/>
    </font>
    <font>
      <sz val="13"/>
      <color rgb="FF5A5A5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B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0" xfId="0" applyNumberFormat="1" applyFont="1" applyFill="1" applyAlignment="1">
      <alignment horizontal="left" wrapText="1"/>
    </xf>
    <xf numFmtId="4" fontId="1" fillId="2" borderId="0" xfId="0" applyNumberFormat="1" applyFont="1" applyFill="1" applyAlignment="1">
      <alignment horizontal="left" wrapText="1"/>
    </xf>
    <xf numFmtId="164" fontId="1" fillId="2" borderId="0" xfId="0" applyNumberFormat="1" applyFont="1" applyFill="1" applyAlignment="1">
      <alignment horizontal="right" wrapText="1"/>
    </xf>
    <xf numFmtId="4" fontId="1" fillId="2" borderId="0" xfId="0" applyNumberFormat="1" applyFont="1" applyFill="1" applyAlignment="1">
      <alignment horizontal="right" wrapText="1"/>
    </xf>
    <xf numFmtId="49" fontId="1" fillId="0" borderId="0" xfId="0" applyNumberFormat="1" applyFont="1" applyAlignment="1">
      <alignment horizontal="left" wrapText="1"/>
    </xf>
    <xf numFmtId="4" fontId="1" fillId="0" borderId="0" xfId="0" applyNumberFormat="1" applyFont="1" applyAlignment="1">
      <alignment horizontal="left" wrapText="1"/>
    </xf>
    <xf numFmtId="164" fontId="1" fillId="0" borderId="0" xfId="0" applyNumberFormat="1" applyFont="1" applyAlignment="1">
      <alignment horizontal="right" wrapText="1"/>
    </xf>
    <xf numFmtId="4" fontId="1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5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right" wrapText="1"/>
    </xf>
    <xf numFmtId="4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topLeftCell="H1" workbookViewId="0">
      <pane ySplit="1" topLeftCell="A2" activePane="bottomLeft" state="frozen"/>
      <selection pane="bottomLeft" activeCell="R4" sqref="R4"/>
    </sheetView>
  </sheetViews>
  <sheetFormatPr baseColWidth="10" defaultColWidth="8.83203125" defaultRowHeight="15" x14ac:dyDescent="0.2"/>
  <cols>
    <col min="1" max="1" width="20" customWidth="1"/>
    <col min="2" max="2" width="29" customWidth="1"/>
    <col min="3" max="3" width="32" customWidth="1"/>
    <col min="4" max="4" width="25" customWidth="1"/>
    <col min="5" max="5" width="47" customWidth="1"/>
    <col min="6" max="6" width="66" customWidth="1"/>
    <col min="7" max="7" width="20" customWidth="1"/>
    <col min="8" max="8" width="31" customWidth="1"/>
    <col min="9" max="9" width="41" customWidth="1"/>
    <col min="10" max="10" width="13" customWidth="1"/>
    <col min="11" max="12" width="15" customWidth="1"/>
    <col min="13" max="13" width="22" customWidth="1"/>
    <col min="14" max="14" width="16" customWidth="1"/>
    <col min="15" max="15" width="24" customWidth="1"/>
  </cols>
  <sheetData>
    <row r="1" spans="1:15" ht="18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3" t="s">
        <v>14</v>
      </c>
    </row>
    <row r="2" spans="1:15" ht="18" x14ac:dyDescent="0.2">
      <c r="A2" s="5" t="s">
        <v>15</v>
      </c>
      <c r="B2" s="5" t="s">
        <v>16</v>
      </c>
      <c r="C2" s="6" t="s">
        <v>16</v>
      </c>
      <c r="D2" s="5" t="s">
        <v>16</v>
      </c>
      <c r="E2" s="5" t="s">
        <v>16</v>
      </c>
      <c r="F2" s="5" t="s">
        <v>16</v>
      </c>
      <c r="G2" s="6" t="s">
        <v>16</v>
      </c>
      <c r="H2" s="7">
        <v>36688.469999999994</v>
      </c>
      <c r="I2" s="7">
        <v>51191.55</v>
      </c>
      <c r="J2" s="7">
        <v>0</v>
      </c>
      <c r="K2" s="7"/>
      <c r="L2" s="5" t="s">
        <v>16</v>
      </c>
      <c r="M2" s="5" t="s">
        <v>16</v>
      </c>
      <c r="N2" s="8">
        <v>14503.079999999998</v>
      </c>
      <c r="O2" s="11">
        <f>N2*0.05</f>
        <v>725.154</v>
      </c>
    </row>
    <row r="3" spans="1:15" ht="18" x14ac:dyDescent="0.2">
      <c r="A3" s="9" t="s">
        <v>28</v>
      </c>
      <c r="B3" s="9" t="s">
        <v>29</v>
      </c>
      <c r="C3" s="10">
        <v>46071.65693287037</v>
      </c>
      <c r="D3" s="9" t="s">
        <v>19</v>
      </c>
      <c r="E3" s="9" t="s">
        <v>30</v>
      </c>
      <c r="F3" s="9" t="s">
        <v>31</v>
      </c>
      <c r="G3" s="10">
        <v>46064</v>
      </c>
      <c r="H3" s="11">
        <v>306.95</v>
      </c>
      <c r="I3" s="11">
        <v>575</v>
      </c>
      <c r="J3" s="11">
        <v>0</v>
      </c>
      <c r="K3" s="11"/>
      <c r="L3" s="9" t="s">
        <v>22</v>
      </c>
      <c r="M3" s="9" t="s">
        <v>32</v>
      </c>
      <c r="N3" s="12">
        <v>268.05</v>
      </c>
      <c r="O3" s="11">
        <f>N3*0.05</f>
        <v>13.402500000000002</v>
      </c>
    </row>
    <row r="4" spans="1:15" ht="18" x14ac:dyDescent="0.2">
      <c r="A4" s="9" t="s">
        <v>33</v>
      </c>
      <c r="B4" s="9" t="s">
        <v>34</v>
      </c>
      <c r="C4" s="10">
        <v>46070.563136574077</v>
      </c>
      <c r="D4" s="9" t="s">
        <v>19</v>
      </c>
      <c r="E4" s="9" t="s">
        <v>35</v>
      </c>
      <c r="F4" s="9" t="s">
        <v>36</v>
      </c>
      <c r="G4" s="10">
        <v>46058</v>
      </c>
      <c r="H4" s="11">
        <v>200</v>
      </c>
      <c r="I4" s="11">
        <v>285</v>
      </c>
      <c r="J4" s="11">
        <v>0</v>
      </c>
      <c r="K4" s="11"/>
      <c r="L4" s="9" t="s">
        <v>22</v>
      </c>
      <c r="M4" s="9" t="s">
        <v>32</v>
      </c>
      <c r="N4" s="12">
        <v>85</v>
      </c>
      <c r="O4" s="11">
        <f t="shared" ref="O4:O67" si="0">N4*0.05</f>
        <v>4.25</v>
      </c>
    </row>
    <row r="5" spans="1:15" ht="18" x14ac:dyDescent="0.2">
      <c r="A5" s="9" t="s">
        <v>37</v>
      </c>
      <c r="B5" s="9" t="s">
        <v>38</v>
      </c>
      <c r="C5" s="10">
        <v>46070.606099537035</v>
      </c>
      <c r="D5" s="9" t="s">
        <v>19</v>
      </c>
      <c r="E5" s="9" t="s">
        <v>39</v>
      </c>
      <c r="F5" s="9" t="s">
        <v>31</v>
      </c>
      <c r="G5" s="10">
        <v>46062</v>
      </c>
      <c r="H5" s="11">
        <v>210.95</v>
      </c>
      <c r="I5" s="11">
        <v>385</v>
      </c>
      <c r="J5" s="11">
        <v>0</v>
      </c>
      <c r="K5" s="11"/>
      <c r="L5" s="9" t="s">
        <v>22</v>
      </c>
      <c r="M5" s="9" t="s">
        <v>32</v>
      </c>
      <c r="N5" s="12">
        <v>174.05</v>
      </c>
      <c r="O5" s="11">
        <f t="shared" si="0"/>
        <v>8.7025000000000006</v>
      </c>
    </row>
    <row r="6" spans="1:15" ht="18" x14ac:dyDescent="0.2">
      <c r="A6" s="9" t="s">
        <v>40</v>
      </c>
      <c r="B6" s="9" t="s">
        <v>41</v>
      </c>
      <c r="C6" s="10">
        <v>46077.668240740742</v>
      </c>
      <c r="D6" s="9" t="s">
        <v>19</v>
      </c>
      <c r="E6" s="9" t="s">
        <v>39</v>
      </c>
      <c r="F6" s="9" t="s">
        <v>42</v>
      </c>
      <c r="G6" s="10">
        <v>46062</v>
      </c>
      <c r="H6" s="11">
        <v>201.51</v>
      </c>
      <c r="I6" s="11">
        <v>320</v>
      </c>
      <c r="J6" s="11">
        <v>0</v>
      </c>
      <c r="K6" s="11"/>
      <c r="L6" s="9" t="s">
        <v>22</v>
      </c>
      <c r="M6" s="9" t="s">
        <v>32</v>
      </c>
      <c r="N6" s="12">
        <v>118.49</v>
      </c>
      <c r="O6" s="11">
        <f t="shared" si="0"/>
        <v>5.9245000000000001</v>
      </c>
    </row>
    <row r="7" spans="1:15" ht="18" x14ac:dyDescent="0.2">
      <c r="A7" s="9" t="s">
        <v>43</v>
      </c>
      <c r="B7" s="9" t="s">
        <v>44</v>
      </c>
      <c r="C7" s="10">
        <v>46077.544293981482</v>
      </c>
      <c r="D7" s="9" t="s">
        <v>19</v>
      </c>
      <c r="E7" s="9" t="s">
        <v>39</v>
      </c>
      <c r="F7" s="9" t="s">
        <v>45</v>
      </c>
      <c r="G7" s="10">
        <v>46062</v>
      </c>
      <c r="H7" s="11">
        <v>274.03000000000003</v>
      </c>
      <c r="I7" s="11">
        <v>455</v>
      </c>
      <c r="J7" s="11">
        <v>0</v>
      </c>
      <c r="K7" s="11"/>
      <c r="L7" s="9" t="s">
        <v>22</v>
      </c>
      <c r="M7" s="9" t="s">
        <v>32</v>
      </c>
      <c r="N7" s="12">
        <v>180.96999999999997</v>
      </c>
      <c r="O7" s="11">
        <f t="shared" si="0"/>
        <v>9.0484999999999989</v>
      </c>
    </row>
    <row r="8" spans="1:15" ht="18" x14ac:dyDescent="0.2">
      <c r="A8" s="9" t="s">
        <v>46</v>
      </c>
      <c r="B8" s="9" t="s">
        <v>47</v>
      </c>
      <c r="C8" s="10">
        <v>46070.65834490741</v>
      </c>
      <c r="D8" s="9" t="s">
        <v>19</v>
      </c>
      <c r="E8" s="9" t="s">
        <v>39</v>
      </c>
      <c r="F8" s="9" t="s">
        <v>48</v>
      </c>
      <c r="G8" s="10">
        <v>46064</v>
      </c>
      <c r="H8" s="11">
        <v>195.65</v>
      </c>
      <c r="I8" s="11">
        <v>335</v>
      </c>
      <c r="J8" s="11">
        <v>0</v>
      </c>
      <c r="K8" s="11"/>
      <c r="L8" s="9" t="s">
        <v>22</v>
      </c>
      <c r="M8" s="9" t="s">
        <v>32</v>
      </c>
      <c r="N8" s="12">
        <v>139.35</v>
      </c>
      <c r="O8" s="11">
        <f t="shared" si="0"/>
        <v>6.9675000000000002</v>
      </c>
    </row>
    <row r="9" spans="1:15" ht="18" x14ac:dyDescent="0.2">
      <c r="A9" s="9" t="s">
        <v>49</v>
      </c>
      <c r="B9" s="9" t="s">
        <v>50</v>
      </c>
      <c r="C9" s="10">
        <v>46073.377013888887</v>
      </c>
      <c r="D9" s="9" t="s">
        <v>19</v>
      </c>
      <c r="E9" s="9" t="s">
        <v>39</v>
      </c>
      <c r="F9" s="9" t="s">
        <v>51</v>
      </c>
      <c r="G9" s="10">
        <v>46064</v>
      </c>
      <c r="H9" s="11">
        <v>292.13</v>
      </c>
      <c r="I9" s="11">
        <v>465</v>
      </c>
      <c r="J9" s="11">
        <v>0</v>
      </c>
      <c r="K9" s="11"/>
      <c r="L9" s="9" t="s">
        <v>22</v>
      </c>
      <c r="M9" s="9" t="s">
        <v>32</v>
      </c>
      <c r="N9" s="12">
        <v>172.87</v>
      </c>
      <c r="O9" s="11">
        <f t="shared" si="0"/>
        <v>8.6435000000000013</v>
      </c>
    </row>
    <row r="10" spans="1:15" ht="18" x14ac:dyDescent="0.2">
      <c r="A10" s="9" t="s">
        <v>52</v>
      </c>
      <c r="B10" s="9" t="s">
        <v>53</v>
      </c>
      <c r="C10" s="10">
        <v>46077.554710648146</v>
      </c>
      <c r="D10" s="9" t="s">
        <v>19</v>
      </c>
      <c r="E10" s="9" t="s">
        <v>39</v>
      </c>
      <c r="F10" s="9" t="s">
        <v>48</v>
      </c>
      <c r="G10" s="10">
        <v>46065</v>
      </c>
      <c r="H10" s="11">
        <v>362.09000000000003</v>
      </c>
      <c r="I10" s="11">
        <v>520</v>
      </c>
      <c r="J10" s="11">
        <v>0</v>
      </c>
      <c r="K10" s="11"/>
      <c r="L10" s="9" t="s">
        <v>22</v>
      </c>
      <c r="M10" s="9" t="s">
        <v>32</v>
      </c>
      <c r="N10" s="12">
        <v>157.90999999999997</v>
      </c>
      <c r="O10" s="11">
        <f t="shared" si="0"/>
        <v>7.8954999999999984</v>
      </c>
    </row>
    <row r="11" spans="1:15" ht="18" x14ac:dyDescent="0.2">
      <c r="A11" s="9" t="s">
        <v>54</v>
      </c>
      <c r="B11" s="9" t="s">
        <v>55</v>
      </c>
      <c r="C11" s="10">
        <v>46071.658055555556</v>
      </c>
      <c r="D11" s="9" t="s">
        <v>19</v>
      </c>
      <c r="E11" s="9" t="s">
        <v>39</v>
      </c>
      <c r="F11" s="9" t="s">
        <v>36</v>
      </c>
      <c r="G11" s="10">
        <v>46066</v>
      </c>
      <c r="H11" s="11">
        <v>275</v>
      </c>
      <c r="I11" s="11">
        <v>360</v>
      </c>
      <c r="J11" s="11">
        <v>0</v>
      </c>
      <c r="K11" s="11"/>
      <c r="L11" s="9" t="s">
        <v>22</v>
      </c>
      <c r="M11" s="9" t="s">
        <v>32</v>
      </c>
      <c r="N11" s="12">
        <v>85</v>
      </c>
      <c r="O11" s="11">
        <f t="shared" si="0"/>
        <v>4.25</v>
      </c>
    </row>
    <row r="12" spans="1:15" ht="18" x14ac:dyDescent="0.2">
      <c r="A12" s="9" t="s">
        <v>56</v>
      </c>
      <c r="B12" s="9" t="s">
        <v>57</v>
      </c>
      <c r="C12" s="10">
        <v>46077.689351851855</v>
      </c>
      <c r="D12" s="9" t="s">
        <v>19</v>
      </c>
      <c r="E12" s="9" t="s">
        <v>39</v>
      </c>
      <c r="F12" s="9" t="s">
        <v>58</v>
      </c>
      <c r="G12" s="10">
        <v>46069</v>
      </c>
      <c r="H12" s="11">
        <v>300</v>
      </c>
      <c r="I12" s="11">
        <v>450</v>
      </c>
      <c r="J12" s="11">
        <v>0</v>
      </c>
      <c r="K12" s="11"/>
      <c r="L12" s="9" t="s">
        <v>22</v>
      </c>
      <c r="M12" s="9" t="s">
        <v>32</v>
      </c>
      <c r="N12" s="12">
        <v>150</v>
      </c>
      <c r="O12" s="11">
        <f t="shared" si="0"/>
        <v>7.5</v>
      </c>
    </row>
    <row r="13" spans="1:15" ht="18" x14ac:dyDescent="0.2">
      <c r="A13" s="9" t="s">
        <v>59</v>
      </c>
      <c r="B13" s="9" t="s">
        <v>60</v>
      </c>
      <c r="C13" s="10">
        <v>46073.37704861111</v>
      </c>
      <c r="D13" s="9" t="s">
        <v>19</v>
      </c>
      <c r="E13" s="9" t="s">
        <v>39</v>
      </c>
      <c r="F13" s="9" t="s">
        <v>36</v>
      </c>
      <c r="G13" s="10">
        <v>46070</v>
      </c>
      <c r="H13" s="11">
        <v>175</v>
      </c>
      <c r="I13" s="11">
        <v>265</v>
      </c>
      <c r="J13" s="11">
        <v>0</v>
      </c>
      <c r="K13" s="11"/>
      <c r="L13" s="9" t="s">
        <v>22</v>
      </c>
      <c r="M13" s="9" t="s">
        <v>32</v>
      </c>
      <c r="N13" s="12">
        <v>90</v>
      </c>
      <c r="O13" s="11">
        <f t="shared" si="0"/>
        <v>4.5</v>
      </c>
    </row>
    <row r="14" spans="1:15" ht="18" x14ac:dyDescent="0.2">
      <c r="A14" s="9" t="s">
        <v>61</v>
      </c>
      <c r="B14" s="9" t="s">
        <v>62</v>
      </c>
      <c r="C14" s="10">
        <v>46073.377025462964</v>
      </c>
      <c r="D14" s="9" t="s">
        <v>19</v>
      </c>
      <c r="E14" s="9" t="s">
        <v>39</v>
      </c>
      <c r="F14" s="9" t="s">
        <v>63</v>
      </c>
      <c r="G14" s="10">
        <v>46070</v>
      </c>
      <c r="H14" s="11">
        <v>95</v>
      </c>
      <c r="I14" s="11">
        <v>185</v>
      </c>
      <c r="J14" s="11">
        <v>0</v>
      </c>
      <c r="K14" s="11"/>
      <c r="L14" s="9" t="s">
        <v>22</v>
      </c>
      <c r="M14" s="9" t="s">
        <v>32</v>
      </c>
      <c r="N14" s="12">
        <v>90</v>
      </c>
      <c r="O14" s="11">
        <f t="shared" si="0"/>
        <v>4.5</v>
      </c>
    </row>
    <row r="15" spans="1:15" ht="18" x14ac:dyDescent="0.2">
      <c r="A15" s="9" t="s">
        <v>64</v>
      </c>
      <c r="B15" s="9" t="s">
        <v>65</v>
      </c>
      <c r="C15" s="10">
        <v>46073.606620370374</v>
      </c>
      <c r="D15" s="9" t="s">
        <v>19</v>
      </c>
      <c r="E15" s="9" t="s">
        <v>39</v>
      </c>
      <c r="F15" s="9" t="s">
        <v>66</v>
      </c>
      <c r="G15" s="10">
        <v>46055</v>
      </c>
      <c r="H15" s="11">
        <v>1225.51</v>
      </c>
      <c r="I15" s="11">
        <v>2010</v>
      </c>
      <c r="J15" s="11"/>
      <c r="K15" s="11"/>
      <c r="L15" s="9" t="s">
        <v>22</v>
      </c>
      <c r="M15" s="9" t="s">
        <v>32</v>
      </c>
      <c r="N15" s="12">
        <v>784.49</v>
      </c>
      <c r="O15" s="11">
        <f t="shared" si="0"/>
        <v>39.224500000000006</v>
      </c>
    </row>
    <row r="16" spans="1:15" ht="18" x14ac:dyDescent="0.2">
      <c r="A16" s="9" t="s">
        <v>67</v>
      </c>
      <c r="B16" s="9" t="s">
        <v>68</v>
      </c>
      <c r="C16" s="10">
        <v>46065.636423611111</v>
      </c>
      <c r="D16" s="9" t="s">
        <v>19</v>
      </c>
      <c r="E16" s="9" t="s">
        <v>69</v>
      </c>
      <c r="F16" s="9" t="s">
        <v>70</v>
      </c>
      <c r="G16" s="10">
        <v>46056</v>
      </c>
      <c r="H16" s="11">
        <v>76.86</v>
      </c>
      <c r="I16" s="11">
        <v>165</v>
      </c>
      <c r="J16" s="11">
        <v>0</v>
      </c>
      <c r="K16" s="11"/>
      <c r="L16" s="9" t="s">
        <v>22</v>
      </c>
      <c r="M16" s="9" t="s">
        <v>32</v>
      </c>
      <c r="N16" s="12">
        <v>88.14</v>
      </c>
      <c r="O16" s="11">
        <f t="shared" si="0"/>
        <v>4.407</v>
      </c>
    </row>
    <row r="17" spans="1:15" ht="18" x14ac:dyDescent="0.2">
      <c r="A17" s="9" t="s">
        <v>71</v>
      </c>
      <c r="B17" s="9" t="s">
        <v>72</v>
      </c>
      <c r="C17" s="10">
        <v>46077.542731481481</v>
      </c>
      <c r="D17" s="9" t="s">
        <v>19</v>
      </c>
      <c r="E17" s="9" t="s">
        <v>69</v>
      </c>
      <c r="F17" s="9" t="s">
        <v>58</v>
      </c>
      <c r="G17" s="10">
        <v>46064</v>
      </c>
      <c r="H17" s="11">
        <v>200</v>
      </c>
      <c r="I17" s="11">
        <v>285</v>
      </c>
      <c r="J17" s="11">
        <v>0</v>
      </c>
      <c r="K17" s="11"/>
      <c r="L17" s="9" t="s">
        <v>22</v>
      </c>
      <c r="M17" s="9" t="s">
        <v>32</v>
      </c>
      <c r="N17" s="12">
        <v>85</v>
      </c>
      <c r="O17" s="11">
        <f t="shared" si="0"/>
        <v>4.25</v>
      </c>
    </row>
    <row r="18" spans="1:15" ht="18" x14ac:dyDescent="0.2">
      <c r="A18" s="9" t="s">
        <v>73</v>
      </c>
      <c r="B18" s="9" t="s">
        <v>74</v>
      </c>
      <c r="C18" s="10">
        <v>46064.39644675926</v>
      </c>
      <c r="D18" s="9" t="s">
        <v>19</v>
      </c>
      <c r="E18" s="9" t="s">
        <v>69</v>
      </c>
      <c r="F18" s="9" t="s">
        <v>48</v>
      </c>
      <c r="G18" s="10">
        <v>46059</v>
      </c>
      <c r="H18" s="11">
        <v>212.85000000000005</v>
      </c>
      <c r="I18" s="11">
        <v>335</v>
      </c>
      <c r="J18" s="11">
        <v>0</v>
      </c>
      <c r="K18" s="11"/>
      <c r="L18" s="9" t="s">
        <v>22</v>
      </c>
      <c r="M18" s="9" t="s">
        <v>32</v>
      </c>
      <c r="N18" s="12">
        <v>122.14999999999995</v>
      </c>
      <c r="O18" s="11">
        <f t="shared" si="0"/>
        <v>6.1074999999999982</v>
      </c>
    </row>
    <row r="19" spans="1:15" ht="18" x14ac:dyDescent="0.2">
      <c r="A19" s="9" t="s">
        <v>75</v>
      </c>
      <c r="B19" s="9" t="s">
        <v>76</v>
      </c>
      <c r="C19" s="10">
        <v>46077.552719907406</v>
      </c>
      <c r="D19" s="9" t="s">
        <v>19</v>
      </c>
      <c r="E19" s="9" t="s">
        <v>69</v>
      </c>
      <c r="F19" s="9" t="s">
        <v>77</v>
      </c>
      <c r="G19" s="10">
        <v>46064</v>
      </c>
      <c r="H19" s="11">
        <v>759.38</v>
      </c>
      <c r="I19" s="11">
        <v>1039</v>
      </c>
      <c r="J19" s="11">
        <v>0</v>
      </c>
      <c r="K19" s="11"/>
      <c r="L19" s="9" t="s">
        <v>22</v>
      </c>
      <c r="M19" s="9" t="s">
        <v>32</v>
      </c>
      <c r="N19" s="12">
        <v>279.62</v>
      </c>
      <c r="O19" s="11">
        <f t="shared" si="0"/>
        <v>13.981000000000002</v>
      </c>
    </row>
    <row r="20" spans="1:15" ht="18" x14ac:dyDescent="0.2">
      <c r="A20" s="9" t="s">
        <v>78</v>
      </c>
      <c r="B20" s="9" t="s">
        <v>79</v>
      </c>
      <c r="C20" s="10">
        <v>46077.542731481481</v>
      </c>
      <c r="D20" s="9" t="s">
        <v>19</v>
      </c>
      <c r="E20" s="9" t="s">
        <v>69</v>
      </c>
      <c r="F20" s="9" t="s">
        <v>80</v>
      </c>
      <c r="G20" s="10">
        <v>46065</v>
      </c>
      <c r="H20" s="11">
        <v>293.53000000000003</v>
      </c>
      <c r="I20" s="11">
        <v>425</v>
      </c>
      <c r="J20" s="11">
        <v>0</v>
      </c>
      <c r="K20" s="11"/>
      <c r="L20" s="9" t="s">
        <v>22</v>
      </c>
      <c r="M20" s="9" t="s">
        <v>32</v>
      </c>
      <c r="N20" s="12">
        <v>131.46999999999997</v>
      </c>
      <c r="O20" s="11">
        <f t="shared" si="0"/>
        <v>6.5734999999999992</v>
      </c>
    </row>
    <row r="21" spans="1:15" ht="18" x14ac:dyDescent="0.2">
      <c r="A21" s="9" t="s">
        <v>81</v>
      </c>
      <c r="B21" s="9" t="s">
        <v>82</v>
      </c>
      <c r="C21" s="10">
        <v>46070.594537037039</v>
      </c>
      <c r="D21" s="9" t="s">
        <v>19</v>
      </c>
      <c r="E21" s="9" t="s">
        <v>69</v>
      </c>
      <c r="F21" s="9" t="s">
        <v>83</v>
      </c>
      <c r="G21" s="10">
        <v>46065</v>
      </c>
      <c r="H21" s="11">
        <v>745.68000000000006</v>
      </c>
      <c r="I21" s="11">
        <v>862.5</v>
      </c>
      <c r="J21" s="11">
        <v>0</v>
      </c>
      <c r="K21" s="11"/>
      <c r="L21" s="9" t="s">
        <v>22</v>
      </c>
      <c r="M21" s="9" t="s">
        <v>32</v>
      </c>
      <c r="N21" s="12">
        <v>116.81999999999989</v>
      </c>
      <c r="O21" s="11">
        <f t="shared" si="0"/>
        <v>5.8409999999999949</v>
      </c>
    </row>
    <row r="22" spans="1:15" ht="18" x14ac:dyDescent="0.2">
      <c r="A22" s="9" t="s">
        <v>84</v>
      </c>
      <c r="B22" s="9" t="s">
        <v>85</v>
      </c>
      <c r="C22" s="10">
        <v>46071.656678240739</v>
      </c>
      <c r="D22" s="9" t="s">
        <v>19</v>
      </c>
      <c r="E22" s="9" t="s">
        <v>69</v>
      </c>
      <c r="F22" s="9" t="s">
        <v>36</v>
      </c>
      <c r="G22" s="10">
        <v>46066</v>
      </c>
      <c r="H22" s="11">
        <v>250</v>
      </c>
      <c r="I22" s="11">
        <v>350</v>
      </c>
      <c r="J22" s="11">
        <v>0</v>
      </c>
      <c r="K22" s="11"/>
      <c r="L22" s="9" t="s">
        <v>22</v>
      </c>
      <c r="M22" s="9" t="s">
        <v>32</v>
      </c>
      <c r="N22" s="12">
        <v>100</v>
      </c>
      <c r="O22" s="11">
        <f t="shared" si="0"/>
        <v>5</v>
      </c>
    </row>
    <row r="23" spans="1:15" ht="18" x14ac:dyDescent="0.2">
      <c r="A23" s="9" t="s">
        <v>86</v>
      </c>
      <c r="B23" s="9" t="s">
        <v>87</v>
      </c>
      <c r="C23" s="10">
        <v>46077.687939814816</v>
      </c>
      <c r="D23" s="9" t="s">
        <v>19</v>
      </c>
      <c r="E23" s="9" t="s">
        <v>69</v>
      </c>
      <c r="F23" s="9" t="s">
        <v>88</v>
      </c>
      <c r="G23" s="10">
        <v>46066</v>
      </c>
      <c r="H23" s="11">
        <v>193.28</v>
      </c>
      <c r="I23" s="11">
        <v>285</v>
      </c>
      <c r="J23" s="11">
        <v>0</v>
      </c>
      <c r="K23" s="11"/>
      <c r="L23" s="9" t="s">
        <v>22</v>
      </c>
      <c r="M23" s="9" t="s">
        <v>32</v>
      </c>
      <c r="N23" s="12">
        <v>91.72</v>
      </c>
      <c r="O23" s="11">
        <f t="shared" si="0"/>
        <v>4.5860000000000003</v>
      </c>
    </row>
    <row r="24" spans="1:15" ht="18" x14ac:dyDescent="0.2">
      <c r="A24" s="9" t="s">
        <v>89</v>
      </c>
      <c r="B24" s="9" t="s">
        <v>90</v>
      </c>
      <c r="C24" s="10">
        <v>46065.50072916667</v>
      </c>
      <c r="D24" s="9" t="s">
        <v>19</v>
      </c>
      <c r="E24" s="9" t="s">
        <v>69</v>
      </c>
      <c r="F24" s="9" t="s">
        <v>91</v>
      </c>
      <c r="G24" s="10">
        <v>46038</v>
      </c>
      <c r="H24" s="11">
        <v>595</v>
      </c>
      <c r="I24" s="11">
        <v>770</v>
      </c>
      <c r="J24" s="11">
        <v>0</v>
      </c>
      <c r="K24" s="11"/>
      <c r="L24" s="9" t="s">
        <v>22</v>
      </c>
      <c r="M24" s="9" t="s">
        <v>32</v>
      </c>
      <c r="N24" s="12">
        <v>175</v>
      </c>
      <c r="O24" s="11">
        <f t="shared" si="0"/>
        <v>8.75</v>
      </c>
    </row>
    <row r="25" spans="1:15" ht="18" x14ac:dyDescent="0.2">
      <c r="A25" s="9" t="s">
        <v>92</v>
      </c>
      <c r="B25" s="9" t="s">
        <v>93</v>
      </c>
      <c r="C25" s="10">
        <v>46073.386238425926</v>
      </c>
      <c r="D25" s="9" t="s">
        <v>19</v>
      </c>
      <c r="E25" s="9" t="s">
        <v>69</v>
      </c>
      <c r="F25" s="9" t="s">
        <v>94</v>
      </c>
      <c r="G25" s="10">
        <v>46070</v>
      </c>
      <c r="H25" s="11">
        <v>87.89</v>
      </c>
      <c r="I25" s="11">
        <v>175</v>
      </c>
      <c r="J25" s="11">
        <v>0</v>
      </c>
      <c r="K25" s="11"/>
      <c r="L25" s="9" t="s">
        <v>22</v>
      </c>
      <c r="M25" s="9" t="s">
        <v>32</v>
      </c>
      <c r="N25" s="12">
        <v>87.11</v>
      </c>
      <c r="O25" s="11">
        <f t="shared" si="0"/>
        <v>4.3555000000000001</v>
      </c>
    </row>
    <row r="26" spans="1:15" ht="18" x14ac:dyDescent="0.2">
      <c r="A26" s="9" t="s">
        <v>95</v>
      </c>
      <c r="B26" s="9" t="s">
        <v>96</v>
      </c>
      <c r="C26" s="10">
        <v>46065.636458333334</v>
      </c>
      <c r="D26" s="9" t="s">
        <v>19</v>
      </c>
      <c r="E26" s="9" t="s">
        <v>97</v>
      </c>
      <c r="F26" s="9" t="s">
        <v>36</v>
      </c>
      <c r="G26" s="10">
        <v>46055</v>
      </c>
      <c r="H26" s="11">
        <v>350</v>
      </c>
      <c r="I26" s="11">
        <v>490</v>
      </c>
      <c r="J26" s="11">
        <v>0</v>
      </c>
      <c r="K26" s="11"/>
      <c r="L26" s="9" t="s">
        <v>22</v>
      </c>
      <c r="M26" s="9" t="s">
        <v>32</v>
      </c>
      <c r="N26" s="12">
        <v>140</v>
      </c>
      <c r="O26" s="11">
        <f t="shared" si="0"/>
        <v>7</v>
      </c>
    </row>
    <row r="27" spans="1:15" ht="18" x14ac:dyDescent="0.2">
      <c r="A27" s="9" t="s">
        <v>98</v>
      </c>
      <c r="B27" s="9" t="s">
        <v>99</v>
      </c>
      <c r="C27" s="10">
        <v>46070.552939814814</v>
      </c>
      <c r="D27" s="9" t="s">
        <v>19</v>
      </c>
      <c r="E27" s="9" t="s">
        <v>97</v>
      </c>
      <c r="F27" s="9" t="s">
        <v>36</v>
      </c>
      <c r="G27" s="10">
        <v>46057</v>
      </c>
      <c r="H27" s="11">
        <v>250</v>
      </c>
      <c r="I27" s="11">
        <v>350</v>
      </c>
      <c r="J27" s="11">
        <v>0</v>
      </c>
      <c r="K27" s="11"/>
      <c r="L27" s="9" t="s">
        <v>22</v>
      </c>
      <c r="M27" s="9" t="s">
        <v>32</v>
      </c>
      <c r="N27" s="12">
        <v>100</v>
      </c>
      <c r="O27" s="11">
        <f t="shared" si="0"/>
        <v>5</v>
      </c>
    </row>
    <row r="28" spans="1:15" ht="18" x14ac:dyDescent="0.2">
      <c r="A28" s="9" t="s">
        <v>100</v>
      </c>
      <c r="B28" s="9" t="s">
        <v>101</v>
      </c>
      <c r="C28" s="10">
        <v>46070.552939814814</v>
      </c>
      <c r="D28" s="9" t="s">
        <v>19</v>
      </c>
      <c r="E28" s="9" t="s">
        <v>97</v>
      </c>
      <c r="F28" s="9" t="s">
        <v>102</v>
      </c>
      <c r="G28" s="10">
        <v>46059</v>
      </c>
      <c r="H28" s="11">
        <v>150</v>
      </c>
      <c r="I28" s="11">
        <v>480</v>
      </c>
      <c r="J28" s="11">
        <v>0</v>
      </c>
      <c r="K28" s="11"/>
      <c r="L28" s="9" t="s">
        <v>22</v>
      </c>
      <c r="M28" s="9" t="s">
        <v>32</v>
      </c>
      <c r="N28" s="12">
        <v>330</v>
      </c>
      <c r="O28" s="11">
        <f t="shared" si="0"/>
        <v>16.5</v>
      </c>
    </row>
    <row r="29" spans="1:15" ht="18" x14ac:dyDescent="0.2">
      <c r="A29" s="9" t="s">
        <v>103</v>
      </c>
      <c r="B29" s="9" t="s">
        <v>104</v>
      </c>
      <c r="C29" s="10">
        <v>46070.62568287037</v>
      </c>
      <c r="D29" s="9" t="s">
        <v>19</v>
      </c>
      <c r="E29" s="9" t="s">
        <v>97</v>
      </c>
      <c r="F29" s="9" t="s">
        <v>36</v>
      </c>
      <c r="G29" s="10">
        <v>46064</v>
      </c>
      <c r="H29" s="11">
        <v>325</v>
      </c>
      <c r="I29" s="11">
        <v>455</v>
      </c>
      <c r="J29" s="11">
        <v>0</v>
      </c>
      <c r="K29" s="11"/>
      <c r="L29" s="9" t="s">
        <v>22</v>
      </c>
      <c r="M29" s="9" t="s">
        <v>32</v>
      </c>
      <c r="N29" s="12">
        <v>130</v>
      </c>
      <c r="O29" s="11">
        <f t="shared" si="0"/>
        <v>6.5</v>
      </c>
    </row>
    <row r="30" spans="1:15" ht="18" x14ac:dyDescent="0.2">
      <c r="A30" s="9" t="s">
        <v>105</v>
      </c>
      <c r="B30" s="9" t="s">
        <v>106</v>
      </c>
      <c r="C30" s="10">
        <v>46071.667187500003</v>
      </c>
      <c r="D30" s="9" t="s">
        <v>19</v>
      </c>
      <c r="E30" s="9" t="s">
        <v>97</v>
      </c>
      <c r="F30" s="9" t="s">
        <v>102</v>
      </c>
      <c r="G30" s="10">
        <v>46064</v>
      </c>
      <c r="H30" s="11">
        <v>320</v>
      </c>
      <c r="I30" s="11">
        <v>595</v>
      </c>
      <c r="J30" s="11">
        <v>0</v>
      </c>
      <c r="K30" s="11"/>
      <c r="L30" s="9" t="s">
        <v>22</v>
      </c>
      <c r="M30" s="9" t="s">
        <v>32</v>
      </c>
      <c r="N30" s="12">
        <v>275</v>
      </c>
      <c r="O30" s="11">
        <f t="shared" si="0"/>
        <v>13.75</v>
      </c>
    </row>
    <row r="31" spans="1:15" ht="18" x14ac:dyDescent="0.2">
      <c r="A31" s="9" t="s">
        <v>107</v>
      </c>
      <c r="B31" s="9" t="s">
        <v>108</v>
      </c>
      <c r="C31" s="10">
        <v>46071.667175925926</v>
      </c>
      <c r="D31" s="9" t="s">
        <v>19</v>
      </c>
      <c r="E31" s="9" t="s">
        <v>97</v>
      </c>
      <c r="F31" s="9" t="s">
        <v>102</v>
      </c>
      <c r="G31" s="10">
        <v>46064</v>
      </c>
      <c r="H31" s="11">
        <v>420</v>
      </c>
      <c r="I31" s="11">
        <v>750</v>
      </c>
      <c r="J31" s="11">
        <v>0</v>
      </c>
      <c r="K31" s="11"/>
      <c r="L31" s="9" t="s">
        <v>22</v>
      </c>
      <c r="M31" s="9" t="s">
        <v>32</v>
      </c>
      <c r="N31" s="12">
        <v>330</v>
      </c>
      <c r="O31" s="11">
        <f t="shared" si="0"/>
        <v>16.5</v>
      </c>
    </row>
    <row r="32" spans="1:15" ht="18" x14ac:dyDescent="0.2">
      <c r="A32" s="9" t="s">
        <v>109</v>
      </c>
      <c r="B32" s="9" t="s">
        <v>110</v>
      </c>
      <c r="C32" s="10">
        <v>46071.667187500003</v>
      </c>
      <c r="D32" s="9" t="s">
        <v>19</v>
      </c>
      <c r="E32" s="9" t="s">
        <v>97</v>
      </c>
      <c r="F32" s="9" t="s">
        <v>36</v>
      </c>
      <c r="G32" s="10">
        <v>46064</v>
      </c>
      <c r="H32" s="11">
        <v>175</v>
      </c>
      <c r="I32" s="11">
        <v>250</v>
      </c>
      <c r="J32" s="11">
        <v>0</v>
      </c>
      <c r="K32" s="11"/>
      <c r="L32" s="9" t="s">
        <v>22</v>
      </c>
      <c r="M32" s="9" t="s">
        <v>32</v>
      </c>
      <c r="N32" s="12">
        <v>75</v>
      </c>
      <c r="O32" s="11">
        <f t="shared" si="0"/>
        <v>3.75</v>
      </c>
    </row>
    <row r="33" spans="1:15" ht="18" x14ac:dyDescent="0.2">
      <c r="A33" s="9" t="s">
        <v>111</v>
      </c>
      <c r="B33" s="9" t="s">
        <v>112</v>
      </c>
      <c r="C33" s="10">
        <v>46065.511620370373</v>
      </c>
      <c r="D33" s="9" t="s">
        <v>19</v>
      </c>
      <c r="E33" s="9" t="s">
        <v>97</v>
      </c>
      <c r="F33" s="9" t="s">
        <v>113</v>
      </c>
      <c r="G33" s="10">
        <v>46050</v>
      </c>
      <c r="H33" s="11">
        <v>1410</v>
      </c>
      <c r="I33" s="11">
        <v>2110</v>
      </c>
      <c r="J33" s="11">
        <v>0</v>
      </c>
      <c r="K33" s="11"/>
      <c r="L33" s="9" t="s">
        <v>22</v>
      </c>
      <c r="M33" s="9" t="s">
        <v>32</v>
      </c>
      <c r="N33" s="12">
        <v>700</v>
      </c>
      <c r="O33" s="11">
        <f t="shared" si="0"/>
        <v>35</v>
      </c>
    </row>
    <row r="34" spans="1:15" ht="18" x14ac:dyDescent="0.2">
      <c r="A34" s="9" t="s">
        <v>114</v>
      </c>
      <c r="B34" s="9" t="s">
        <v>115</v>
      </c>
      <c r="C34" s="10">
        <v>46071.656712962962</v>
      </c>
      <c r="D34" s="9" t="s">
        <v>19</v>
      </c>
      <c r="E34" s="9" t="s">
        <v>97</v>
      </c>
      <c r="F34" s="9" t="s">
        <v>36</v>
      </c>
      <c r="G34" s="10">
        <v>46066</v>
      </c>
      <c r="H34" s="11">
        <v>175</v>
      </c>
      <c r="I34" s="11">
        <v>265</v>
      </c>
      <c r="J34" s="11">
        <v>0</v>
      </c>
      <c r="K34" s="11"/>
      <c r="L34" s="9" t="s">
        <v>22</v>
      </c>
      <c r="M34" s="9" t="s">
        <v>32</v>
      </c>
      <c r="N34" s="12">
        <v>90</v>
      </c>
      <c r="O34" s="11">
        <f t="shared" si="0"/>
        <v>4.5</v>
      </c>
    </row>
    <row r="35" spans="1:15" ht="18" x14ac:dyDescent="0.2">
      <c r="A35" s="9" t="s">
        <v>116</v>
      </c>
      <c r="B35" s="9" t="s">
        <v>117</v>
      </c>
      <c r="C35" s="10">
        <v>46067.333622685182</v>
      </c>
      <c r="D35" s="9" t="s">
        <v>19</v>
      </c>
      <c r="E35" s="9" t="s">
        <v>97</v>
      </c>
      <c r="F35" s="9" t="s">
        <v>36</v>
      </c>
      <c r="G35" s="10">
        <v>46045</v>
      </c>
      <c r="H35" s="11">
        <v>500</v>
      </c>
      <c r="I35" s="11">
        <v>650</v>
      </c>
      <c r="J35" s="11">
        <v>0</v>
      </c>
      <c r="K35" s="11"/>
      <c r="L35" s="9" t="s">
        <v>22</v>
      </c>
      <c r="M35" s="9" t="s">
        <v>32</v>
      </c>
      <c r="N35" s="12">
        <v>150</v>
      </c>
      <c r="O35" s="11">
        <f t="shared" si="0"/>
        <v>7.5</v>
      </c>
    </row>
    <row r="36" spans="1:15" ht="18" x14ac:dyDescent="0.2">
      <c r="A36" s="9" t="s">
        <v>118</v>
      </c>
      <c r="B36" s="9" t="s">
        <v>119</v>
      </c>
      <c r="C36" s="10">
        <v>46077.542916666665</v>
      </c>
      <c r="D36" s="9" t="s">
        <v>19</v>
      </c>
      <c r="E36" s="9" t="s">
        <v>120</v>
      </c>
      <c r="F36" s="9" t="s">
        <v>121</v>
      </c>
      <c r="G36" s="10">
        <v>46057</v>
      </c>
      <c r="H36" s="11">
        <v>85.31</v>
      </c>
      <c r="I36" s="11">
        <v>175</v>
      </c>
      <c r="J36" s="11">
        <v>0</v>
      </c>
      <c r="K36" s="11"/>
      <c r="L36" s="9" t="s">
        <v>22</v>
      </c>
      <c r="M36" s="9" t="s">
        <v>32</v>
      </c>
      <c r="N36" s="12">
        <v>89.69</v>
      </c>
      <c r="O36" s="11">
        <f t="shared" si="0"/>
        <v>4.4844999999999997</v>
      </c>
    </row>
    <row r="37" spans="1:15" ht="18" x14ac:dyDescent="0.2">
      <c r="A37" s="9" t="s">
        <v>17</v>
      </c>
      <c r="B37" s="9" t="s">
        <v>18</v>
      </c>
      <c r="C37" s="10">
        <v>46070.458807870367</v>
      </c>
      <c r="D37" s="9" t="s">
        <v>19</v>
      </c>
      <c r="E37" s="9" t="s">
        <v>20</v>
      </c>
      <c r="F37" s="9" t="s">
        <v>21</v>
      </c>
      <c r="G37" s="10">
        <v>46063</v>
      </c>
      <c r="H37" s="11">
        <v>290.62</v>
      </c>
      <c r="I37" s="11">
        <v>395</v>
      </c>
      <c r="J37" s="11">
        <v>0</v>
      </c>
      <c r="K37" s="11"/>
      <c r="L37" s="9" t="s">
        <v>22</v>
      </c>
      <c r="M37" s="9" t="s">
        <v>23</v>
      </c>
      <c r="N37" s="12">
        <v>104.38</v>
      </c>
      <c r="O37" s="11">
        <f t="shared" si="0"/>
        <v>5.2190000000000003</v>
      </c>
    </row>
    <row r="38" spans="1:15" ht="18" x14ac:dyDescent="0.2">
      <c r="A38" s="9" t="s">
        <v>24</v>
      </c>
      <c r="B38" s="9" t="s">
        <v>25</v>
      </c>
      <c r="C38" s="10">
        <v>46073.573599537034</v>
      </c>
      <c r="D38" s="9" t="s">
        <v>19</v>
      </c>
      <c r="E38" s="9" t="s">
        <v>20</v>
      </c>
      <c r="F38" s="9" t="s">
        <v>21</v>
      </c>
      <c r="G38" s="10">
        <v>46066</v>
      </c>
      <c r="H38" s="11">
        <v>798.59</v>
      </c>
      <c r="I38" s="11">
        <v>1050</v>
      </c>
      <c r="J38" s="11">
        <v>0</v>
      </c>
      <c r="K38" s="11"/>
      <c r="L38" s="9" t="s">
        <v>22</v>
      </c>
      <c r="M38" s="9" t="s">
        <v>23</v>
      </c>
      <c r="N38" s="12">
        <v>251.41</v>
      </c>
      <c r="O38" s="11">
        <f t="shared" si="0"/>
        <v>12.570500000000001</v>
      </c>
    </row>
    <row r="39" spans="1:15" ht="18" x14ac:dyDescent="0.2">
      <c r="A39" s="9" t="s">
        <v>26</v>
      </c>
      <c r="B39" s="9" t="s">
        <v>27</v>
      </c>
      <c r="C39" s="10">
        <v>46077.334027777775</v>
      </c>
      <c r="D39" s="9" t="s">
        <v>19</v>
      </c>
      <c r="E39" s="9" t="s">
        <v>20</v>
      </c>
      <c r="F39" s="9" t="s">
        <v>21</v>
      </c>
      <c r="G39" s="10">
        <v>46072</v>
      </c>
      <c r="H39" s="11">
        <v>818.06</v>
      </c>
      <c r="I39" s="11">
        <v>1175</v>
      </c>
      <c r="J39" s="11"/>
      <c r="K39" s="11"/>
      <c r="L39" s="9" t="s">
        <v>22</v>
      </c>
      <c r="M39" s="9" t="s">
        <v>23</v>
      </c>
      <c r="N39" s="12">
        <v>356.94</v>
      </c>
      <c r="O39" s="11">
        <f t="shared" si="0"/>
        <v>17.847000000000001</v>
      </c>
    </row>
    <row r="40" spans="1:15" ht="18" x14ac:dyDescent="0.2">
      <c r="A40" s="9" t="s">
        <v>122</v>
      </c>
      <c r="B40" s="9" t="s">
        <v>123</v>
      </c>
      <c r="C40" s="10">
        <v>46070.542453703703</v>
      </c>
      <c r="D40" s="9" t="s">
        <v>19</v>
      </c>
      <c r="E40" s="9" t="s">
        <v>124</v>
      </c>
      <c r="F40" s="9" t="s">
        <v>125</v>
      </c>
      <c r="G40" s="10">
        <v>46065</v>
      </c>
      <c r="H40" s="11">
        <v>491.24</v>
      </c>
      <c r="I40" s="11">
        <v>685</v>
      </c>
      <c r="J40" s="11">
        <v>0</v>
      </c>
      <c r="K40" s="11"/>
      <c r="L40" s="9" t="s">
        <v>22</v>
      </c>
      <c r="M40" s="9" t="s">
        <v>23</v>
      </c>
      <c r="N40" s="12">
        <v>193.76</v>
      </c>
      <c r="O40" s="11">
        <f t="shared" si="0"/>
        <v>9.6880000000000006</v>
      </c>
    </row>
    <row r="41" spans="1:15" ht="18" x14ac:dyDescent="0.2">
      <c r="A41" s="9" t="s">
        <v>126</v>
      </c>
      <c r="B41" s="9" t="s">
        <v>127</v>
      </c>
      <c r="C41" s="10">
        <v>46070.479953703703</v>
      </c>
      <c r="D41" s="9" t="s">
        <v>19</v>
      </c>
      <c r="E41" s="9" t="s">
        <v>124</v>
      </c>
      <c r="F41" s="9" t="s">
        <v>125</v>
      </c>
      <c r="G41" s="10">
        <v>46066</v>
      </c>
      <c r="H41" s="11">
        <v>564.15</v>
      </c>
      <c r="I41" s="11">
        <v>765</v>
      </c>
      <c r="J41" s="11">
        <v>0</v>
      </c>
      <c r="K41" s="11"/>
      <c r="L41" s="9" t="s">
        <v>22</v>
      </c>
      <c r="M41" s="9" t="s">
        <v>23</v>
      </c>
      <c r="N41" s="12">
        <v>200.85</v>
      </c>
      <c r="O41" s="11">
        <f t="shared" si="0"/>
        <v>10.0425</v>
      </c>
    </row>
    <row r="42" spans="1:15" ht="18" x14ac:dyDescent="0.2">
      <c r="A42" s="9" t="s">
        <v>128</v>
      </c>
      <c r="B42" s="9" t="s">
        <v>129</v>
      </c>
      <c r="C42" s="10">
        <v>46072.459861111114</v>
      </c>
      <c r="D42" s="9" t="s">
        <v>19</v>
      </c>
      <c r="E42" s="9" t="s">
        <v>124</v>
      </c>
      <c r="F42" s="9" t="s">
        <v>21</v>
      </c>
      <c r="G42" s="10">
        <v>46069</v>
      </c>
      <c r="H42" s="11">
        <v>376.28000000000003</v>
      </c>
      <c r="I42" s="11">
        <v>575</v>
      </c>
      <c r="J42" s="11">
        <v>0</v>
      </c>
      <c r="K42" s="11"/>
      <c r="L42" s="9" t="s">
        <v>22</v>
      </c>
      <c r="M42" s="9" t="s">
        <v>23</v>
      </c>
      <c r="N42" s="12">
        <v>198.71999999999997</v>
      </c>
      <c r="O42" s="11">
        <f t="shared" si="0"/>
        <v>9.9359999999999999</v>
      </c>
    </row>
    <row r="43" spans="1:15" ht="18" x14ac:dyDescent="0.2">
      <c r="A43" s="9" t="s">
        <v>130</v>
      </c>
      <c r="B43" s="9" t="s">
        <v>131</v>
      </c>
      <c r="C43" s="10">
        <v>46073.57403935185</v>
      </c>
      <c r="D43" s="9" t="s">
        <v>19</v>
      </c>
      <c r="E43" s="9" t="s">
        <v>124</v>
      </c>
      <c r="F43" s="9" t="s">
        <v>21</v>
      </c>
      <c r="G43" s="10">
        <v>46069</v>
      </c>
      <c r="H43" s="11">
        <v>351.71</v>
      </c>
      <c r="I43" s="11">
        <v>545</v>
      </c>
      <c r="J43" s="11">
        <v>0</v>
      </c>
      <c r="K43" s="11"/>
      <c r="L43" s="9" t="s">
        <v>22</v>
      </c>
      <c r="M43" s="9" t="s">
        <v>23</v>
      </c>
      <c r="N43" s="12">
        <v>193.29</v>
      </c>
      <c r="O43" s="11">
        <f t="shared" si="0"/>
        <v>9.6645000000000003</v>
      </c>
    </row>
    <row r="44" spans="1:15" ht="18" x14ac:dyDescent="0.2">
      <c r="A44" s="9" t="s">
        <v>132</v>
      </c>
      <c r="B44" s="9" t="s">
        <v>133</v>
      </c>
      <c r="C44" s="10">
        <v>46076.469884259262</v>
      </c>
      <c r="D44" s="9" t="s">
        <v>19</v>
      </c>
      <c r="E44" s="9" t="s">
        <v>124</v>
      </c>
      <c r="F44" s="9" t="s">
        <v>21</v>
      </c>
      <c r="G44" s="10">
        <v>46069</v>
      </c>
      <c r="H44" s="11">
        <v>469.81</v>
      </c>
      <c r="I44" s="11">
        <v>985</v>
      </c>
      <c r="J44" s="11">
        <v>0</v>
      </c>
      <c r="K44" s="11"/>
      <c r="L44" s="9" t="s">
        <v>22</v>
      </c>
      <c r="M44" s="9" t="s">
        <v>23</v>
      </c>
      <c r="N44" s="12">
        <v>515.19000000000005</v>
      </c>
      <c r="O44" s="11">
        <f t="shared" si="0"/>
        <v>25.759500000000003</v>
      </c>
    </row>
    <row r="45" spans="1:15" ht="18" x14ac:dyDescent="0.2">
      <c r="A45" s="9" t="s">
        <v>134</v>
      </c>
      <c r="B45" s="9" t="s">
        <v>135</v>
      </c>
      <c r="C45" s="10">
        <v>46071.355324074073</v>
      </c>
      <c r="D45" s="9" t="s">
        <v>19</v>
      </c>
      <c r="E45" s="9" t="s">
        <v>124</v>
      </c>
      <c r="F45" s="9" t="s">
        <v>36</v>
      </c>
      <c r="G45" s="10">
        <v>46070</v>
      </c>
      <c r="H45" s="11">
        <v>175</v>
      </c>
      <c r="I45" s="11">
        <v>265</v>
      </c>
      <c r="J45" s="11">
        <v>0</v>
      </c>
      <c r="K45" s="11"/>
      <c r="L45" s="9" t="s">
        <v>22</v>
      </c>
      <c r="M45" s="9" t="s">
        <v>23</v>
      </c>
      <c r="N45" s="12">
        <v>90</v>
      </c>
      <c r="O45" s="11">
        <f t="shared" si="0"/>
        <v>4.5</v>
      </c>
    </row>
    <row r="46" spans="1:15" ht="18" x14ac:dyDescent="0.2">
      <c r="A46" s="9" t="s">
        <v>136</v>
      </c>
      <c r="B46" s="9" t="s">
        <v>137</v>
      </c>
      <c r="C46" s="10">
        <v>46071.35533564815</v>
      </c>
      <c r="D46" s="9" t="s">
        <v>19</v>
      </c>
      <c r="E46" s="9" t="s">
        <v>124</v>
      </c>
      <c r="F46" s="9" t="s">
        <v>36</v>
      </c>
      <c r="G46" s="10">
        <v>46070</v>
      </c>
      <c r="H46" s="11">
        <v>125</v>
      </c>
      <c r="I46" s="11">
        <v>215</v>
      </c>
      <c r="J46" s="11">
        <v>0</v>
      </c>
      <c r="K46" s="11"/>
      <c r="L46" s="9" t="s">
        <v>22</v>
      </c>
      <c r="M46" s="9" t="s">
        <v>23</v>
      </c>
      <c r="N46" s="12">
        <v>90</v>
      </c>
      <c r="O46" s="11">
        <f t="shared" si="0"/>
        <v>4.5</v>
      </c>
    </row>
    <row r="47" spans="1:15" ht="18" x14ac:dyDescent="0.2">
      <c r="A47" s="9" t="s">
        <v>138</v>
      </c>
      <c r="B47" s="9" t="s">
        <v>139</v>
      </c>
      <c r="C47" s="10">
        <v>46076.500856481478</v>
      </c>
      <c r="D47" s="9" t="s">
        <v>19</v>
      </c>
      <c r="E47" s="9" t="s">
        <v>124</v>
      </c>
      <c r="F47" s="9" t="s">
        <v>140</v>
      </c>
      <c r="G47" s="10">
        <v>46070</v>
      </c>
      <c r="H47" s="11">
        <v>2200</v>
      </c>
      <c r="I47" s="11">
        <v>2750</v>
      </c>
      <c r="J47" s="11">
        <v>0</v>
      </c>
      <c r="K47" s="11"/>
      <c r="L47" s="9" t="s">
        <v>22</v>
      </c>
      <c r="M47" s="9" t="s">
        <v>23</v>
      </c>
      <c r="N47" s="12">
        <v>550</v>
      </c>
      <c r="O47" s="11">
        <f t="shared" si="0"/>
        <v>27.5</v>
      </c>
    </row>
    <row r="48" spans="1:15" ht="18" x14ac:dyDescent="0.2">
      <c r="A48" s="9" t="s">
        <v>141</v>
      </c>
      <c r="B48" s="9" t="s">
        <v>142</v>
      </c>
      <c r="C48" s="10">
        <v>46073.449189814812</v>
      </c>
      <c r="D48" s="9" t="s">
        <v>19</v>
      </c>
      <c r="E48" s="9" t="s">
        <v>124</v>
      </c>
      <c r="F48" s="9" t="s">
        <v>125</v>
      </c>
      <c r="G48" s="10">
        <v>46071</v>
      </c>
      <c r="H48" s="11">
        <v>1190.0899999999999</v>
      </c>
      <c r="I48" s="11">
        <v>1395</v>
      </c>
      <c r="J48" s="11">
        <v>0</v>
      </c>
      <c r="K48" s="11"/>
      <c r="L48" s="9" t="s">
        <v>22</v>
      </c>
      <c r="M48" s="9" t="s">
        <v>23</v>
      </c>
      <c r="N48" s="12">
        <v>204.91</v>
      </c>
      <c r="O48" s="11">
        <f t="shared" si="0"/>
        <v>10.2455</v>
      </c>
    </row>
    <row r="49" spans="1:15" ht="18" x14ac:dyDescent="0.2">
      <c r="A49" s="9" t="s">
        <v>143</v>
      </c>
      <c r="B49" s="9" t="s">
        <v>144</v>
      </c>
      <c r="C49" s="10">
        <v>46076.407349537039</v>
      </c>
      <c r="D49" s="9" t="s">
        <v>19</v>
      </c>
      <c r="E49" s="9" t="s">
        <v>124</v>
      </c>
      <c r="F49" s="9" t="s">
        <v>125</v>
      </c>
      <c r="G49" s="10">
        <v>46071</v>
      </c>
      <c r="H49" s="11">
        <v>437.17</v>
      </c>
      <c r="I49" s="11">
        <v>555</v>
      </c>
      <c r="J49" s="11">
        <v>0</v>
      </c>
      <c r="K49" s="11"/>
      <c r="L49" s="9" t="s">
        <v>22</v>
      </c>
      <c r="M49" s="9" t="s">
        <v>23</v>
      </c>
      <c r="N49" s="12">
        <v>117.83</v>
      </c>
      <c r="O49" s="11">
        <f t="shared" si="0"/>
        <v>5.8915000000000006</v>
      </c>
    </row>
    <row r="50" spans="1:15" ht="18" x14ac:dyDescent="0.2">
      <c r="A50" s="9" t="s">
        <v>145</v>
      </c>
      <c r="B50" s="9" t="s">
        <v>146</v>
      </c>
      <c r="C50" s="10">
        <v>46073.449189814812</v>
      </c>
      <c r="D50" s="9" t="s">
        <v>19</v>
      </c>
      <c r="E50" s="9" t="s">
        <v>124</v>
      </c>
      <c r="F50" s="9" t="s">
        <v>125</v>
      </c>
      <c r="G50" s="10">
        <v>46071</v>
      </c>
      <c r="H50" s="11">
        <v>358</v>
      </c>
      <c r="I50" s="11">
        <v>495</v>
      </c>
      <c r="J50" s="11">
        <v>0</v>
      </c>
      <c r="K50" s="11"/>
      <c r="L50" s="9" t="s">
        <v>22</v>
      </c>
      <c r="M50" s="9" t="s">
        <v>23</v>
      </c>
      <c r="N50" s="12">
        <v>137</v>
      </c>
      <c r="O50" s="11">
        <f t="shared" si="0"/>
        <v>6.8500000000000005</v>
      </c>
    </row>
    <row r="51" spans="1:15" ht="18" x14ac:dyDescent="0.2">
      <c r="A51" s="9" t="s">
        <v>147</v>
      </c>
      <c r="B51" s="9" t="s">
        <v>148</v>
      </c>
      <c r="C51" s="10">
        <v>46073.449189814812</v>
      </c>
      <c r="D51" s="9" t="s">
        <v>19</v>
      </c>
      <c r="E51" s="9" t="s">
        <v>124</v>
      </c>
      <c r="F51" s="9" t="s">
        <v>31</v>
      </c>
      <c r="G51" s="10">
        <v>46071</v>
      </c>
      <c r="H51" s="11">
        <v>554.35</v>
      </c>
      <c r="I51" s="11">
        <v>750</v>
      </c>
      <c r="J51" s="11">
        <v>0</v>
      </c>
      <c r="K51" s="11"/>
      <c r="L51" s="9" t="s">
        <v>22</v>
      </c>
      <c r="M51" s="9" t="s">
        <v>23</v>
      </c>
      <c r="N51" s="12">
        <v>195.65</v>
      </c>
      <c r="O51" s="11">
        <f t="shared" si="0"/>
        <v>9.7825000000000006</v>
      </c>
    </row>
    <row r="52" spans="1:15" ht="18" x14ac:dyDescent="0.2">
      <c r="A52" s="9" t="s">
        <v>149</v>
      </c>
      <c r="B52" s="9" t="s">
        <v>150</v>
      </c>
      <c r="C52" s="10">
        <v>46077.449004629627</v>
      </c>
      <c r="D52" s="9" t="s">
        <v>19</v>
      </c>
      <c r="E52" s="9" t="s">
        <v>124</v>
      </c>
      <c r="F52" s="9" t="s">
        <v>36</v>
      </c>
      <c r="G52" s="10">
        <v>46072</v>
      </c>
      <c r="H52" s="11">
        <v>275</v>
      </c>
      <c r="I52" s="11">
        <v>385</v>
      </c>
      <c r="J52" s="11"/>
      <c r="K52" s="11"/>
      <c r="L52" s="9" t="s">
        <v>22</v>
      </c>
      <c r="M52" s="9" t="s">
        <v>23</v>
      </c>
      <c r="N52" s="12">
        <v>110</v>
      </c>
      <c r="O52" s="11">
        <f t="shared" si="0"/>
        <v>5.5</v>
      </c>
    </row>
    <row r="53" spans="1:15" ht="18" x14ac:dyDescent="0.2">
      <c r="A53" s="9" t="s">
        <v>151</v>
      </c>
      <c r="B53" s="9" t="s">
        <v>152</v>
      </c>
      <c r="C53" s="10">
        <v>46076.469884259262</v>
      </c>
      <c r="D53" s="9" t="s">
        <v>19</v>
      </c>
      <c r="E53" s="9" t="s">
        <v>124</v>
      </c>
      <c r="F53" s="9" t="s">
        <v>125</v>
      </c>
      <c r="G53" s="10">
        <v>46072</v>
      </c>
      <c r="H53" s="11">
        <v>530.68000000000006</v>
      </c>
      <c r="I53" s="11">
        <v>715</v>
      </c>
      <c r="J53" s="11">
        <v>0</v>
      </c>
      <c r="K53" s="11"/>
      <c r="L53" s="9" t="s">
        <v>22</v>
      </c>
      <c r="M53" s="9" t="s">
        <v>23</v>
      </c>
      <c r="N53" s="12">
        <v>184.31999999999991</v>
      </c>
      <c r="O53" s="11">
        <f t="shared" si="0"/>
        <v>9.2159999999999958</v>
      </c>
    </row>
    <row r="54" spans="1:15" ht="18" x14ac:dyDescent="0.2">
      <c r="A54" s="9" t="s">
        <v>153</v>
      </c>
      <c r="B54" s="9" t="s">
        <v>154</v>
      </c>
      <c r="C54" s="10">
        <v>46077.553402777776</v>
      </c>
      <c r="D54" s="9" t="s">
        <v>19</v>
      </c>
      <c r="E54" s="9" t="s">
        <v>124</v>
      </c>
      <c r="F54" s="9" t="s">
        <v>125</v>
      </c>
      <c r="G54" s="10">
        <v>46073</v>
      </c>
      <c r="H54" s="11">
        <v>296.18</v>
      </c>
      <c r="I54" s="11">
        <v>425</v>
      </c>
      <c r="J54" s="11">
        <v>0</v>
      </c>
      <c r="K54" s="11"/>
      <c r="L54" s="9" t="s">
        <v>22</v>
      </c>
      <c r="M54" s="9" t="s">
        <v>23</v>
      </c>
      <c r="N54" s="12">
        <v>128.82</v>
      </c>
      <c r="O54" s="11">
        <f t="shared" si="0"/>
        <v>6.4409999999999998</v>
      </c>
    </row>
    <row r="55" spans="1:15" ht="18" x14ac:dyDescent="0.2">
      <c r="A55" s="9" t="s">
        <v>155</v>
      </c>
      <c r="B55" s="9" t="s">
        <v>156</v>
      </c>
      <c r="C55" s="10">
        <v>46073.605243055557</v>
      </c>
      <c r="D55" s="9" t="s">
        <v>19</v>
      </c>
      <c r="E55" s="9" t="s">
        <v>157</v>
      </c>
      <c r="F55" s="9" t="s">
        <v>158</v>
      </c>
      <c r="G55" s="10">
        <v>46057</v>
      </c>
      <c r="H55" s="11">
        <v>1387</v>
      </c>
      <c r="I55" s="11">
        <v>1500</v>
      </c>
      <c r="J55" s="11">
        <v>0</v>
      </c>
      <c r="K55" s="11"/>
      <c r="L55" s="9" t="s">
        <v>22</v>
      </c>
      <c r="M55" s="9" t="s">
        <v>23</v>
      </c>
      <c r="N55" s="12">
        <v>113</v>
      </c>
      <c r="O55" s="11">
        <f t="shared" si="0"/>
        <v>5.65</v>
      </c>
    </row>
    <row r="56" spans="1:15" ht="18" x14ac:dyDescent="0.2">
      <c r="A56" s="9" t="s">
        <v>159</v>
      </c>
      <c r="B56" s="9" t="s">
        <v>160</v>
      </c>
      <c r="C56" s="10">
        <v>46066.542974537035</v>
      </c>
      <c r="D56" s="9" t="s">
        <v>19</v>
      </c>
      <c r="E56" s="9" t="s">
        <v>157</v>
      </c>
      <c r="F56" s="9" t="s">
        <v>161</v>
      </c>
      <c r="G56" s="10">
        <v>46056</v>
      </c>
      <c r="H56" s="11">
        <v>484.39</v>
      </c>
      <c r="I56" s="11">
        <v>675</v>
      </c>
      <c r="J56" s="11">
        <v>0</v>
      </c>
      <c r="K56" s="11"/>
      <c r="L56" s="9" t="s">
        <v>22</v>
      </c>
      <c r="M56" s="9" t="s">
        <v>23</v>
      </c>
      <c r="N56" s="12">
        <v>190.61</v>
      </c>
      <c r="O56" s="11">
        <f t="shared" si="0"/>
        <v>9.5305000000000017</v>
      </c>
    </row>
    <row r="57" spans="1:15" ht="18" x14ac:dyDescent="0.2">
      <c r="A57" s="9" t="s">
        <v>162</v>
      </c>
      <c r="B57" s="9" t="s">
        <v>163</v>
      </c>
      <c r="C57" s="10">
        <v>46066.532847222225</v>
      </c>
      <c r="D57" s="9" t="s">
        <v>19</v>
      </c>
      <c r="E57" s="9" t="s">
        <v>157</v>
      </c>
      <c r="F57" s="9" t="s">
        <v>164</v>
      </c>
      <c r="G57" s="10">
        <v>46059</v>
      </c>
      <c r="H57" s="11">
        <v>552</v>
      </c>
      <c r="I57" s="11">
        <v>850</v>
      </c>
      <c r="J57" s="11"/>
      <c r="K57" s="11"/>
      <c r="L57" s="9" t="s">
        <v>22</v>
      </c>
      <c r="M57" s="9" t="s">
        <v>23</v>
      </c>
      <c r="N57" s="12">
        <v>298</v>
      </c>
      <c r="O57" s="11">
        <f t="shared" si="0"/>
        <v>14.9</v>
      </c>
    </row>
    <row r="58" spans="1:15" ht="18" x14ac:dyDescent="0.2">
      <c r="A58" s="9" t="s">
        <v>165</v>
      </c>
      <c r="B58" s="9" t="s">
        <v>166</v>
      </c>
      <c r="C58" s="10">
        <v>46064.39671296296</v>
      </c>
      <c r="D58" s="9" t="s">
        <v>19</v>
      </c>
      <c r="E58" s="9" t="s">
        <v>157</v>
      </c>
      <c r="F58" s="9" t="s">
        <v>167</v>
      </c>
      <c r="G58" s="10">
        <v>46059</v>
      </c>
      <c r="H58" s="11">
        <v>160.87</v>
      </c>
      <c r="I58" s="11">
        <v>250</v>
      </c>
      <c r="J58" s="11">
        <v>0</v>
      </c>
      <c r="K58" s="11"/>
      <c r="L58" s="9" t="s">
        <v>22</v>
      </c>
      <c r="M58" s="9" t="s">
        <v>23</v>
      </c>
      <c r="N58" s="12">
        <v>89.13</v>
      </c>
      <c r="O58" s="11">
        <f t="shared" si="0"/>
        <v>4.4565000000000001</v>
      </c>
    </row>
    <row r="59" spans="1:15" ht="18" x14ac:dyDescent="0.2">
      <c r="A59" s="9" t="s">
        <v>168</v>
      </c>
      <c r="B59" s="9" t="s">
        <v>169</v>
      </c>
      <c r="C59" s="10">
        <v>46066.532858796294</v>
      </c>
      <c r="D59" s="9" t="s">
        <v>19</v>
      </c>
      <c r="E59" s="9" t="s">
        <v>157</v>
      </c>
      <c r="F59" s="9" t="s">
        <v>158</v>
      </c>
      <c r="G59" s="10">
        <v>46059</v>
      </c>
      <c r="H59" s="11">
        <v>715</v>
      </c>
      <c r="I59" s="11">
        <v>895</v>
      </c>
      <c r="J59" s="11">
        <v>0</v>
      </c>
      <c r="K59" s="11"/>
      <c r="L59" s="9" t="s">
        <v>22</v>
      </c>
      <c r="M59" s="9" t="s">
        <v>23</v>
      </c>
      <c r="N59" s="12">
        <v>180</v>
      </c>
      <c r="O59" s="11">
        <f t="shared" si="0"/>
        <v>9</v>
      </c>
    </row>
    <row r="60" spans="1:15" ht="18" x14ac:dyDescent="0.2">
      <c r="A60" s="9" t="s">
        <v>170</v>
      </c>
      <c r="B60" s="9" t="s">
        <v>171</v>
      </c>
      <c r="C60" s="10">
        <v>46070.44872685185</v>
      </c>
      <c r="D60" s="9" t="s">
        <v>19</v>
      </c>
      <c r="E60" s="9" t="s">
        <v>157</v>
      </c>
      <c r="F60" s="9" t="s">
        <v>21</v>
      </c>
      <c r="G60" s="10">
        <v>46062</v>
      </c>
      <c r="H60" s="11">
        <v>756.21</v>
      </c>
      <c r="I60" s="11">
        <v>400</v>
      </c>
      <c r="J60" s="11">
        <v>0</v>
      </c>
      <c r="K60" s="11"/>
      <c r="L60" s="9" t="s">
        <v>22</v>
      </c>
      <c r="M60" s="9" t="s">
        <v>23</v>
      </c>
      <c r="N60" s="12">
        <v>-356.21</v>
      </c>
      <c r="O60" s="11">
        <f t="shared" si="0"/>
        <v>-17.810500000000001</v>
      </c>
    </row>
    <row r="61" spans="1:15" ht="18" x14ac:dyDescent="0.2">
      <c r="A61" s="9" t="s">
        <v>172</v>
      </c>
      <c r="B61" s="9" t="s">
        <v>173</v>
      </c>
      <c r="C61" s="10">
        <v>46066.532858796294</v>
      </c>
      <c r="D61" s="9" t="s">
        <v>19</v>
      </c>
      <c r="E61" s="9" t="s">
        <v>157</v>
      </c>
      <c r="F61" s="9" t="s">
        <v>121</v>
      </c>
      <c r="G61" s="10">
        <v>46062</v>
      </c>
      <c r="H61" s="11">
        <v>288.55</v>
      </c>
      <c r="I61" s="11">
        <v>375</v>
      </c>
      <c r="J61" s="11">
        <v>0</v>
      </c>
      <c r="K61" s="11"/>
      <c r="L61" s="9" t="s">
        <v>22</v>
      </c>
      <c r="M61" s="9" t="s">
        <v>23</v>
      </c>
      <c r="N61" s="12">
        <v>86.45</v>
      </c>
      <c r="O61" s="11">
        <f t="shared" si="0"/>
        <v>4.3225000000000007</v>
      </c>
    </row>
    <row r="62" spans="1:15" ht="18" x14ac:dyDescent="0.2">
      <c r="A62" s="9" t="s">
        <v>174</v>
      </c>
      <c r="B62" s="9" t="s">
        <v>175</v>
      </c>
      <c r="C62" s="10">
        <v>46073.584398148145</v>
      </c>
      <c r="D62" s="9" t="s">
        <v>19</v>
      </c>
      <c r="E62" s="9" t="s">
        <v>157</v>
      </c>
      <c r="F62" s="9" t="s">
        <v>77</v>
      </c>
      <c r="G62" s="10">
        <v>46062</v>
      </c>
      <c r="H62" s="11">
        <v>197.4</v>
      </c>
      <c r="I62" s="11">
        <v>295</v>
      </c>
      <c r="J62" s="11">
        <v>0</v>
      </c>
      <c r="K62" s="11"/>
      <c r="L62" s="9" t="s">
        <v>22</v>
      </c>
      <c r="M62" s="9" t="s">
        <v>23</v>
      </c>
      <c r="N62" s="12">
        <v>97.6</v>
      </c>
      <c r="O62" s="11">
        <f t="shared" si="0"/>
        <v>4.88</v>
      </c>
    </row>
    <row r="63" spans="1:15" ht="18" x14ac:dyDescent="0.2">
      <c r="A63" s="9" t="s">
        <v>176</v>
      </c>
      <c r="B63" s="9" t="s">
        <v>177</v>
      </c>
      <c r="C63" s="10">
        <v>46066.532858796294</v>
      </c>
      <c r="D63" s="9" t="s">
        <v>19</v>
      </c>
      <c r="E63" s="9" t="s">
        <v>157</v>
      </c>
      <c r="F63" s="9" t="s">
        <v>21</v>
      </c>
      <c r="G63" s="10">
        <v>46063</v>
      </c>
      <c r="H63" s="11">
        <v>572.30000000000007</v>
      </c>
      <c r="I63" s="11">
        <v>795</v>
      </c>
      <c r="J63" s="11">
        <v>0</v>
      </c>
      <c r="K63" s="11"/>
      <c r="L63" s="9" t="s">
        <v>22</v>
      </c>
      <c r="M63" s="9" t="s">
        <v>23</v>
      </c>
      <c r="N63" s="12">
        <v>222.6999999999999</v>
      </c>
      <c r="O63" s="11">
        <f t="shared" si="0"/>
        <v>11.134999999999996</v>
      </c>
    </row>
    <row r="64" spans="1:15" ht="18" x14ac:dyDescent="0.2">
      <c r="A64" s="9" t="s">
        <v>178</v>
      </c>
      <c r="B64" s="9" t="s">
        <v>179</v>
      </c>
      <c r="C64" s="10">
        <v>46066.532858796294</v>
      </c>
      <c r="D64" s="9" t="s">
        <v>19</v>
      </c>
      <c r="E64" s="9" t="s">
        <v>157</v>
      </c>
      <c r="F64" s="9" t="s">
        <v>180</v>
      </c>
      <c r="G64" s="10">
        <v>46062</v>
      </c>
      <c r="H64" s="11">
        <v>2000</v>
      </c>
      <c r="I64" s="11">
        <v>2750</v>
      </c>
      <c r="J64" s="11">
        <v>0</v>
      </c>
      <c r="K64" s="11"/>
      <c r="L64" s="9" t="s">
        <v>22</v>
      </c>
      <c r="M64" s="9" t="s">
        <v>23</v>
      </c>
      <c r="N64" s="12">
        <v>750</v>
      </c>
      <c r="O64" s="11">
        <f t="shared" si="0"/>
        <v>37.5</v>
      </c>
    </row>
    <row r="65" spans="1:15" ht="18" x14ac:dyDescent="0.2">
      <c r="A65" s="9" t="s">
        <v>181</v>
      </c>
      <c r="B65" s="9" t="s">
        <v>182</v>
      </c>
      <c r="C65" s="10">
        <v>46070.44872685185</v>
      </c>
      <c r="D65" s="9" t="s">
        <v>19</v>
      </c>
      <c r="E65" s="9" t="s">
        <v>157</v>
      </c>
      <c r="F65" s="9" t="s">
        <v>48</v>
      </c>
      <c r="G65" s="10">
        <v>46065</v>
      </c>
      <c r="H65" s="11">
        <v>320.07</v>
      </c>
      <c r="I65" s="11">
        <v>365</v>
      </c>
      <c r="J65" s="11">
        <v>0</v>
      </c>
      <c r="K65" s="11"/>
      <c r="L65" s="9" t="s">
        <v>22</v>
      </c>
      <c r="M65" s="9" t="s">
        <v>23</v>
      </c>
      <c r="N65" s="12">
        <v>44.93</v>
      </c>
      <c r="O65" s="11">
        <f t="shared" si="0"/>
        <v>2.2465000000000002</v>
      </c>
    </row>
    <row r="66" spans="1:15" ht="18" x14ac:dyDescent="0.2">
      <c r="A66" s="9" t="s">
        <v>183</v>
      </c>
      <c r="B66" s="9" t="s">
        <v>184</v>
      </c>
      <c r="C66" s="10">
        <v>46066.532858796294</v>
      </c>
      <c r="D66" s="9" t="s">
        <v>19</v>
      </c>
      <c r="E66" s="9" t="s">
        <v>157</v>
      </c>
      <c r="F66" s="9" t="s">
        <v>94</v>
      </c>
      <c r="G66" s="10">
        <v>46064</v>
      </c>
      <c r="H66" s="11">
        <v>93.600000000000023</v>
      </c>
      <c r="I66" s="11">
        <v>175</v>
      </c>
      <c r="J66" s="11">
        <v>0</v>
      </c>
      <c r="K66" s="11"/>
      <c r="L66" s="9" t="s">
        <v>22</v>
      </c>
      <c r="M66" s="9" t="s">
        <v>23</v>
      </c>
      <c r="N66" s="12">
        <v>81.399999999999977</v>
      </c>
      <c r="O66" s="11">
        <f t="shared" si="0"/>
        <v>4.0699999999999994</v>
      </c>
    </row>
    <row r="67" spans="1:15" ht="18" x14ac:dyDescent="0.2">
      <c r="A67" s="9" t="s">
        <v>185</v>
      </c>
      <c r="B67" s="9" t="s">
        <v>186</v>
      </c>
      <c r="C67" s="10">
        <v>46070.459062499998</v>
      </c>
      <c r="D67" s="9" t="s">
        <v>19</v>
      </c>
      <c r="E67" s="9" t="s">
        <v>157</v>
      </c>
      <c r="F67" s="9" t="s">
        <v>80</v>
      </c>
      <c r="G67" s="10">
        <v>46064</v>
      </c>
      <c r="H67" s="11">
        <v>228.43</v>
      </c>
      <c r="I67" s="11">
        <v>325</v>
      </c>
      <c r="J67" s="11">
        <v>0</v>
      </c>
      <c r="K67" s="11"/>
      <c r="L67" s="9" t="s">
        <v>22</v>
      </c>
      <c r="M67" s="9" t="s">
        <v>23</v>
      </c>
      <c r="N67" s="12">
        <v>96.57</v>
      </c>
      <c r="O67" s="11">
        <f t="shared" si="0"/>
        <v>4.8285</v>
      </c>
    </row>
    <row r="68" spans="1:15" ht="18" x14ac:dyDescent="0.2">
      <c r="A68" s="9" t="s">
        <v>187</v>
      </c>
      <c r="B68" s="9" t="s">
        <v>188</v>
      </c>
      <c r="C68" s="10">
        <v>46073.448923611111</v>
      </c>
      <c r="D68" s="9" t="s">
        <v>19</v>
      </c>
      <c r="E68" s="9" t="s">
        <v>157</v>
      </c>
      <c r="F68" s="9" t="s">
        <v>58</v>
      </c>
      <c r="G68" s="10">
        <v>46070</v>
      </c>
      <c r="H68" s="11">
        <v>365</v>
      </c>
      <c r="I68" s="11">
        <v>490</v>
      </c>
      <c r="J68" s="11">
        <v>0</v>
      </c>
      <c r="K68" s="11"/>
      <c r="L68" s="9" t="s">
        <v>22</v>
      </c>
      <c r="M68" s="9" t="s">
        <v>23</v>
      </c>
      <c r="N68" s="12">
        <v>125</v>
      </c>
      <c r="O68" s="11">
        <f t="shared" ref="O68:O80" si="1">N68*0.05</f>
        <v>6.25</v>
      </c>
    </row>
    <row r="69" spans="1:15" ht="18" x14ac:dyDescent="0.2">
      <c r="A69" s="9" t="s">
        <v>189</v>
      </c>
      <c r="B69" s="9" t="s">
        <v>190</v>
      </c>
      <c r="C69" s="10">
        <v>46070.521516203706</v>
      </c>
      <c r="D69" s="9" t="s">
        <v>19</v>
      </c>
      <c r="E69" s="9" t="s">
        <v>157</v>
      </c>
      <c r="F69" s="9" t="s">
        <v>191</v>
      </c>
      <c r="G69" s="10">
        <v>46065</v>
      </c>
      <c r="H69" s="11">
        <v>1850</v>
      </c>
      <c r="I69" s="11">
        <v>2500</v>
      </c>
      <c r="J69" s="11">
        <v>0</v>
      </c>
      <c r="K69" s="11"/>
      <c r="L69" s="9" t="s">
        <v>22</v>
      </c>
      <c r="M69" s="9" t="s">
        <v>23</v>
      </c>
      <c r="N69" s="12">
        <v>650</v>
      </c>
      <c r="O69" s="11">
        <f t="shared" si="1"/>
        <v>32.5</v>
      </c>
    </row>
    <row r="70" spans="1:15" ht="18" x14ac:dyDescent="0.2">
      <c r="A70" s="9" t="s">
        <v>192</v>
      </c>
      <c r="B70" s="9" t="s">
        <v>193</v>
      </c>
      <c r="C70" s="10">
        <v>46071.417812500003</v>
      </c>
      <c r="D70" s="9" t="s">
        <v>19</v>
      </c>
      <c r="E70" s="9" t="s">
        <v>157</v>
      </c>
      <c r="F70" s="9" t="s">
        <v>158</v>
      </c>
      <c r="G70" s="10">
        <v>46066</v>
      </c>
      <c r="H70" s="11">
        <v>793.13</v>
      </c>
      <c r="I70" s="11">
        <v>995</v>
      </c>
      <c r="J70" s="11">
        <v>0</v>
      </c>
      <c r="K70" s="11"/>
      <c r="L70" s="9" t="s">
        <v>22</v>
      </c>
      <c r="M70" s="9" t="s">
        <v>23</v>
      </c>
      <c r="N70" s="12">
        <v>201.87</v>
      </c>
      <c r="O70" s="11">
        <f t="shared" si="1"/>
        <v>10.093500000000001</v>
      </c>
    </row>
    <row r="71" spans="1:15" ht="18" x14ac:dyDescent="0.2">
      <c r="A71" s="9" t="s">
        <v>194</v>
      </c>
      <c r="B71" s="9" t="s">
        <v>195</v>
      </c>
      <c r="C71" s="10">
        <v>46071.438819444447</v>
      </c>
      <c r="D71" s="9" t="s">
        <v>19</v>
      </c>
      <c r="E71" s="9" t="s">
        <v>157</v>
      </c>
      <c r="F71" s="9" t="s">
        <v>94</v>
      </c>
      <c r="G71" s="10">
        <v>46066</v>
      </c>
      <c r="H71" s="11">
        <v>258.8</v>
      </c>
      <c r="I71" s="11">
        <v>355</v>
      </c>
      <c r="J71" s="11">
        <v>0</v>
      </c>
      <c r="K71" s="11"/>
      <c r="L71" s="9" t="s">
        <v>22</v>
      </c>
      <c r="M71" s="9" t="s">
        <v>23</v>
      </c>
      <c r="N71" s="12">
        <v>96.2</v>
      </c>
      <c r="O71" s="11">
        <f t="shared" si="1"/>
        <v>4.8100000000000005</v>
      </c>
    </row>
    <row r="72" spans="1:15" ht="18" x14ac:dyDescent="0.2">
      <c r="A72" s="9" t="s">
        <v>196</v>
      </c>
      <c r="B72" s="9" t="s">
        <v>197</v>
      </c>
      <c r="C72" s="10">
        <v>46071.604884259257</v>
      </c>
      <c r="D72" s="9" t="s">
        <v>19</v>
      </c>
      <c r="E72" s="9" t="s">
        <v>157</v>
      </c>
      <c r="F72" s="9" t="s">
        <v>198</v>
      </c>
      <c r="G72" s="10">
        <v>46069</v>
      </c>
      <c r="H72" s="11">
        <v>465</v>
      </c>
      <c r="I72" s="11">
        <v>625</v>
      </c>
      <c r="J72" s="11">
        <v>0</v>
      </c>
      <c r="K72" s="11"/>
      <c r="L72" s="9" t="s">
        <v>22</v>
      </c>
      <c r="M72" s="9" t="s">
        <v>23</v>
      </c>
      <c r="N72" s="12">
        <v>160</v>
      </c>
      <c r="O72" s="11">
        <f t="shared" si="1"/>
        <v>8</v>
      </c>
    </row>
    <row r="73" spans="1:15" ht="18" x14ac:dyDescent="0.2">
      <c r="A73" s="9" t="s">
        <v>199</v>
      </c>
      <c r="B73" s="9" t="s">
        <v>200</v>
      </c>
      <c r="C73" s="10">
        <v>46071.428240740737</v>
      </c>
      <c r="D73" s="9" t="s">
        <v>19</v>
      </c>
      <c r="E73" s="9" t="s">
        <v>157</v>
      </c>
      <c r="F73" s="9" t="s">
        <v>94</v>
      </c>
      <c r="G73" s="10">
        <v>46069</v>
      </c>
      <c r="H73" s="11">
        <v>45</v>
      </c>
      <c r="I73" s="11">
        <v>125</v>
      </c>
      <c r="J73" s="11">
        <v>0</v>
      </c>
      <c r="K73" s="11"/>
      <c r="L73" s="9" t="s">
        <v>22</v>
      </c>
      <c r="M73" s="9" t="s">
        <v>23</v>
      </c>
      <c r="N73" s="12">
        <v>80</v>
      </c>
      <c r="O73" s="11">
        <f t="shared" si="1"/>
        <v>4</v>
      </c>
    </row>
    <row r="74" spans="1:15" ht="18" x14ac:dyDescent="0.2">
      <c r="A74" s="9" t="s">
        <v>201</v>
      </c>
      <c r="B74" s="9" t="s">
        <v>202</v>
      </c>
      <c r="C74" s="10">
        <v>46070.469641203701</v>
      </c>
      <c r="D74" s="9" t="s">
        <v>19</v>
      </c>
      <c r="E74" s="9" t="s">
        <v>157</v>
      </c>
      <c r="F74" s="9" t="s">
        <v>94</v>
      </c>
      <c r="G74" s="10">
        <v>46069</v>
      </c>
      <c r="H74" s="11">
        <v>84.33</v>
      </c>
      <c r="I74" s="11">
        <v>175</v>
      </c>
      <c r="J74" s="11">
        <v>0</v>
      </c>
      <c r="K74" s="11"/>
      <c r="L74" s="9" t="s">
        <v>22</v>
      </c>
      <c r="M74" s="9" t="s">
        <v>23</v>
      </c>
      <c r="N74" s="12">
        <v>90.67</v>
      </c>
      <c r="O74" s="11">
        <f t="shared" si="1"/>
        <v>4.5335000000000001</v>
      </c>
    </row>
    <row r="75" spans="1:15" ht="18" x14ac:dyDescent="0.2">
      <c r="A75" s="9" t="s">
        <v>203</v>
      </c>
      <c r="B75" s="9" t="s">
        <v>204</v>
      </c>
      <c r="C75" s="10">
        <v>46076.553287037037</v>
      </c>
      <c r="D75" s="9" t="s">
        <v>19</v>
      </c>
      <c r="E75" s="9" t="s">
        <v>157</v>
      </c>
      <c r="F75" s="9" t="s">
        <v>31</v>
      </c>
      <c r="G75" s="10">
        <v>46072</v>
      </c>
      <c r="H75" s="11">
        <v>372.1</v>
      </c>
      <c r="I75" s="11">
        <v>395.05</v>
      </c>
      <c r="J75" s="11">
        <v>0</v>
      </c>
      <c r="K75" s="11"/>
      <c r="L75" s="9" t="s">
        <v>22</v>
      </c>
      <c r="M75" s="9" t="s">
        <v>23</v>
      </c>
      <c r="N75" s="12">
        <v>22.95</v>
      </c>
      <c r="O75" s="11">
        <f t="shared" si="1"/>
        <v>1.1475</v>
      </c>
    </row>
    <row r="76" spans="1:15" ht="18" x14ac:dyDescent="0.2">
      <c r="A76" s="9" t="s">
        <v>205</v>
      </c>
      <c r="B76" s="9" t="s">
        <v>206</v>
      </c>
      <c r="C76" s="10">
        <v>46073.448912037034</v>
      </c>
      <c r="D76" s="9" t="s">
        <v>19</v>
      </c>
      <c r="E76" s="9" t="s">
        <v>157</v>
      </c>
      <c r="F76" s="9" t="s">
        <v>207</v>
      </c>
      <c r="G76" s="10">
        <v>46071</v>
      </c>
      <c r="H76" s="11">
        <v>550</v>
      </c>
      <c r="I76" s="11">
        <v>875</v>
      </c>
      <c r="J76" s="11">
        <v>0</v>
      </c>
      <c r="K76" s="11"/>
      <c r="L76" s="9" t="s">
        <v>22</v>
      </c>
      <c r="M76" s="9" t="s">
        <v>23</v>
      </c>
      <c r="N76" s="12">
        <v>325</v>
      </c>
      <c r="O76" s="11">
        <f t="shared" si="1"/>
        <v>16.25</v>
      </c>
    </row>
    <row r="77" spans="1:15" ht="18" x14ac:dyDescent="0.2">
      <c r="A77" s="9" t="s">
        <v>208</v>
      </c>
      <c r="B77" s="9" t="s">
        <v>209</v>
      </c>
      <c r="C77" s="10">
        <v>46077.292557870373</v>
      </c>
      <c r="D77" s="9" t="s">
        <v>19</v>
      </c>
      <c r="E77" s="9" t="s">
        <v>157</v>
      </c>
      <c r="F77" s="9" t="s">
        <v>158</v>
      </c>
      <c r="G77" s="10">
        <v>46070</v>
      </c>
      <c r="H77" s="11">
        <v>195</v>
      </c>
      <c r="I77" s="11">
        <v>275</v>
      </c>
      <c r="J77" s="11">
        <v>0</v>
      </c>
      <c r="K77" s="11"/>
      <c r="L77" s="9" t="s">
        <v>22</v>
      </c>
      <c r="M77" s="9" t="s">
        <v>23</v>
      </c>
      <c r="N77" s="12">
        <v>80</v>
      </c>
      <c r="O77" s="11">
        <f t="shared" si="1"/>
        <v>4</v>
      </c>
    </row>
    <row r="78" spans="1:15" ht="18" x14ac:dyDescent="0.2">
      <c r="A78" s="9" t="s">
        <v>210</v>
      </c>
      <c r="B78" s="9" t="s">
        <v>211</v>
      </c>
      <c r="C78" s="10">
        <v>46072.459722222222</v>
      </c>
      <c r="D78" s="9" t="s">
        <v>19</v>
      </c>
      <c r="E78" s="9" t="s">
        <v>157</v>
      </c>
      <c r="F78" s="9" t="s">
        <v>212</v>
      </c>
      <c r="G78" s="10">
        <v>46071</v>
      </c>
      <c r="H78" s="11">
        <v>1300</v>
      </c>
      <c r="I78" s="11">
        <v>1850</v>
      </c>
      <c r="J78" s="11">
        <v>0</v>
      </c>
      <c r="K78" s="11"/>
      <c r="L78" s="9" t="s">
        <v>22</v>
      </c>
      <c r="M78" s="9" t="s">
        <v>23</v>
      </c>
      <c r="N78" s="12">
        <v>550</v>
      </c>
      <c r="O78" s="11">
        <f t="shared" si="1"/>
        <v>27.5</v>
      </c>
    </row>
    <row r="79" spans="1:15" ht="18" x14ac:dyDescent="0.2">
      <c r="A79" s="9" t="s">
        <v>213</v>
      </c>
      <c r="B79" s="9" t="s">
        <v>214</v>
      </c>
      <c r="C79" s="10">
        <v>46072.459722222222</v>
      </c>
      <c r="D79" s="9" t="s">
        <v>19</v>
      </c>
      <c r="E79" s="9" t="s">
        <v>157</v>
      </c>
      <c r="F79" s="9" t="s">
        <v>215</v>
      </c>
      <c r="G79" s="10">
        <v>46071</v>
      </c>
      <c r="H79" s="11">
        <v>390</v>
      </c>
      <c r="I79" s="11">
        <v>550</v>
      </c>
      <c r="J79" s="11">
        <v>0</v>
      </c>
      <c r="K79" s="11"/>
      <c r="L79" s="9" t="s">
        <v>22</v>
      </c>
      <c r="M79" s="9" t="s">
        <v>23</v>
      </c>
      <c r="N79" s="12">
        <v>160</v>
      </c>
      <c r="O79" s="11">
        <f t="shared" si="1"/>
        <v>8</v>
      </c>
    </row>
    <row r="80" spans="1:15" ht="18" x14ac:dyDescent="0.2">
      <c r="A80" s="9" t="s">
        <v>216</v>
      </c>
      <c r="B80" s="9" t="s">
        <v>217</v>
      </c>
      <c r="C80" s="10">
        <v>46077.604803240742</v>
      </c>
      <c r="D80" s="9" t="s">
        <v>19</v>
      </c>
      <c r="E80" s="9" t="s">
        <v>157</v>
      </c>
      <c r="F80" s="9" t="s">
        <v>48</v>
      </c>
      <c r="G80" s="10">
        <v>46076</v>
      </c>
      <c r="H80" s="11">
        <v>273.76</v>
      </c>
      <c r="I80" s="11">
        <v>335</v>
      </c>
      <c r="J80" s="11">
        <v>0</v>
      </c>
      <c r="K80" s="11"/>
      <c r="L80" s="9" t="s">
        <v>22</v>
      </c>
      <c r="M80" s="9" t="s">
        <v>23</v>
      </c>
      <c r="N80" s="12">
        <v>61.24</v>
      </c>
      <c r="O80" s="11">
        <f t="shared" si="1"/>
        <v>3.0620000000000003</v>
      </c>
    </row>
  </sheetData>
  <sortState xmlns:xlrd2="http://schemas.microsoft.com/office/spreadsheetml/2017/richdata2" ref="A2:O80">
    <sortCondition ref="M1:M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Josh Olive</cp:lastModifiedBy>
  <dcterms:created xsi:type="dcterms:W3CDTF">2026-02-25T13:33:23Z</dcterms:created>
  <dcterms:modified xsi:type="dcterms:W3CDTF">2026-02-25T13:34:24Z</dcterms:modified>
</cp:coreProperties>
</file>